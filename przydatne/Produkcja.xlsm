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67D6D41B-1B4E-4227-B8C9-80ED6403D5BE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5" i="61" l="1" a="1"/>
  <c r="C15" i="61" s="1"/>
  <c r="B15" i="61" s="1"/>
  <c r="C16" i="61" a="1"/>
  <c r="C16" i="61" s="1"/>
  <c r="B16" i="61" s="1"/>
  <c r="C17" i="61" a="1"/>
  <c r="C17" i="61" s="1"/>
  <c r="B17" i="61" s="1"/>
  <c r="C18" i="61" a="1"/>
  <c r="C18" i="61" s="1"/>
  <c r="B18" i="61" s="1"/>
  <c r="C19" i="61" a="1"/>
  <c r="C19" i="61" s="1"/>
  <c r="B19" i="61" s="1"/>
  <c r="C20" i="61" a="1"/>
  <c r="C20" i="61" s="1"/>
  <c r="B20" i="61" s="1"/>
  <c r="C21" i="61" a="1"/>
  <c r="C21" i="61" s="1"/>
  <c r="B21" i="61" s="1"/>
  <c r="C22" i="61" a="1"/>
  <c r="C22" i="61" s="1"/>
  <c r="B22" i="61" s="1"/>
  <c r="C23" i="61" a="1"/>
  <c r="C23" i="61" s="1"/>
  <c r="B23" i="61" s="1"/>
  <c r="C24" i="61" a="1"/>
  <c r="C24" i="61" s="1"/>
  <c r="B24" i="61" s="1"/>
  <c r="C25" i="61" a="1"/>
  <c r="C25" i="61" s="1"/>
  <c r="B25" i="61" s="1"/>
  <c r="B6" i="62" l="1" a="1"/>
  <c r="B6" i="62" s="1"/>
  <c r="G9" i="62" a="1"/>
  <c r="G9" i="62" s="1"/>
  <c r="C10" i="61" a="1"/>
  <c r="C10" i="61" s="1"/>
  <c r="C11" i="61" a="1"/>
  <c r="C11" i="61" s="1"/>
  <c r="C12" i="61" a="1"/>
  <c r="C12" i="61" s="1"/>
  <c r="C13" i="61" a="1"/>
  <c r="C13" i="61" s="1"/>
  <c r="C14" i="61" a="1"/>
  <c r="C14" i="61" s="1"/>
  <c r="A1" i="61" a="1"/>
  <c r="C9" i="61" s="1" a="1"/>
  <c r="C9" i="61" s="1"/>
  <c r="A1" i="61" l="1"/>
  <c r="C1" i="61" s="1" a="1"/>
  <c r="C1" i="61" s="1"/>
  <c r="C2" i="61" a="1"/>
  <c r="C2" i="61" s="1"/>
  <c r="C6" i="61" a="1"/>
  <c r="C6" i="61" s="1"/>
  <c r="C3" i="61" a="1"/>
  <c r="C3" i="61" s="1"/>
  <c r="C7" i="61" a="1"/>
  <c r="C7" i="61" s="1"/>
  <c r="C4" i="61" a="1"/>
  <c r="C4" i="61" s="1"/>
  <c r="C8" i="61" a="1"/>
  <c r="C8" i="61" s="1"/>
  <c r="C5" i="61" a="1"/>
  <c r="C5" i="61" s="1"/>
  <c r="C3" i="62"/>
  <c r="C2" i="62"/>
  <c r="A4" i="62" l="1"/>
  <c r="I18" i="61" a="1"/>
  <c r="I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B3" i="61" l="1"/>
  <c r="B4" i="61"/>
  <c r="B12" i="61"/>
  <c r="B7" i="61"/>
  <c r="B2" i="61"/>
  <c r="B11" i="61"/>
  <c r="B6" i="61"/>
  <c r="B10" i="61"/>
  <c r="B14" i="61"/>
  <c r="B1" i="61"/>
  <c r="B5" i="61"/>
  <c r="B9" i="61"/>
  <c r="B13" i="61"/>
  <c r="B8" i="61"/>
  <c r="J26" i="57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<sst xmlns="http://schemas.openxmlformats.org/spreadsheetml/2006/main" count="14396" uniqueCount="3779">
  <si>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</si>
  <si>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</si>
  <si>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</si>
  <si>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</si>
  <si>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</si>
  <si>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</si>
  <si>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</si>
  <si>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</si>
  <si>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</si>
  <si>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</si>
  <si>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</si>
  <si>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</si>
  <si>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</si>
  <si>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</si>
  <si>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</si>
  <si>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</si>
  <si>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</si>
  <si>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</si>
  <si>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</si>
  <si>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</si>
  <si>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</si>
  <si>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</si>
  <si>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</si>
  <si>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</si>
  <si>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</si>
  <si>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</si>
  <si>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</si>
  <si>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</si>
  <si>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</si>
  <si>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</si>
  <si>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</si>
  <si>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</si>
  <si>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</si>
  <si>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</si>
  <si>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</si>
  <si>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</si>
  <si>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</si>
  <si>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</si>
  <si>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</si>
  <si>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</si>
  <si>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</si>
  <si>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</si>
  <si>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</si>
  <si>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</si>
  <si>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</si>
  <si>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</si>
  <si>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</si>
  <si>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</si>
  <si>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</si>
  <si>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</si>
  <si>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</si>
  <si>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</si>
  <si>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</si>
  <si>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</si>
  <si>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</si>
  <si>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</si>
  <si>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</si>
  <si>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</si>
  <si>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</si>
  <si>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</si>
  <si>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</si>
  <si>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</si>
  <si>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</si>
  <si>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</si>
  <si>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</si>
  <si>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</si>
  <si>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</si>
  <si>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</si>
  <si>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</si>
  <si>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</si>
  <si>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</si>
  <si>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</si>
  <si>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</si>
  <si>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</si>
  <si>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</si>
  <si>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</si>
  <si>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</si>
  <si>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</si>
  <si>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</si>
  <si>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</si>
  <si>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</si>
  <si>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</si>
  <si>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</si>
  <si>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</si>
  <si>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</si>
  <si>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</si>
  <si>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</si>
  <si>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</si>
  <si>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</si>
  <si>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</si>
  <si>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</si>
  <si>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</si>
  <si>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</si>
  <si>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</si>
  <si>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</si>
  <si>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</si>
  <si>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</si>
  <si>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</si>
  <si>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</si>
  <si>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</si>
  <si>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</si>
  <si>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</si>
  <si>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</si>
  <si>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</si>
  <si>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</si>
  <si>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</si>
  <si>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</si>
  <si>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</si>
  <si>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</si>
  <si>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</si>
  <si>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</si>
  <si>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</si>
  <si>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</si>
  <si>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</si>
  <si>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</si>
  <si>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</si>
  <si>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</si>
  <si>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</si>
  <si>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</si>
  <si>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</si>
  <si>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</si>
  <si>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</si>
  <si>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</si>
  <si>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</si>
  <si>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</si>
  <si>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</si>
  <si>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</si>
  <si>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</si>
  <si>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</si>
  <si>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</si>
  <si>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</si>
  <si>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</si>
  <si>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</si>
  <si>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</si>
  <si>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</si>
  <si>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</si>
  <si>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</si>
  <si>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</si>
  <si>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</si>
  <si>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</si>
  <si>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</si>
  <si>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</si>
  <si>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</si>
  <si>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</si>
  <si>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</si>
  <si>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</si>
  <si>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</si>
  <si>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</si>
  <si>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</si>
  <si>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</si>
  <si>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</si>
  <si>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</si>
  <si>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</si>
  <si>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</si>
  <si>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</si>
  <si>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</si>
  <si>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</si>
  <si>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</si>
  <si>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</si>
  <si>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</si>
  <si>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</si>
  <si>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</si>
  <si>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</si>
  <si>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</si>
  <si>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</si>
  <si>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</si>
  <si>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</si>
  <si>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</si>
  <si>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</si>
  <si>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</si>
  <si>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</si>
  <si>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</si>
  <si>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</si>
  <si>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</si>
  <si>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</si>
  <si>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</si>
  <si>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</si>
  <si>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</si>
  <si>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</si>
  <si>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</si>
  <si>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</si>
  <si>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</si>
  <si>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</si>
  <si>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</si>
  <si>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</si>
  <si>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</si>
  <si>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</si>
  <si>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</si>
  <si>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</si>
  <si>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</si>
  <si>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</si>
  <si>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</si>
  <si>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</si>
  <si>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</si>
  <si>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</si>
  <si>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</si>
  <si>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</si>
  <si>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</si>
  <si>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</si>
  <si>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</si>
  <si>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</si>
  <si>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</si>
  <si>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</si>
  <si>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</si>
  <si>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</si>
  <si>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</si>
  <si>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</si>
  <si>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</si>
  <si>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</si>
  <si>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</si>
  <si>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</si>
  <si>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</si>
  <si>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</si>
  <si>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</si>
  <si>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</si>
  <si>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</si>
  <si>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</si>
  <si>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</si>
  <si>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</si>
  <si>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</si>
  <si>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</si>
  <si>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</si>
  <si>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</si>
  <si>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</si>
  <si>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</si>
  <si>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</si>
  <si>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</si>
  <si>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</si>
  <si>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</si>
  <si>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</si>
  <si>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</si>
  <si>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</si>
  <si>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</si>
  <si>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</si>
  <si>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</si>
  <si>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</si>
  <si>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</si>
  <si>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</si>
  <si>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</si>
  <si>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</si>
  <si>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</si>
  <si>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</si>
  <si>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</si>
  <si>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</si>
  <si>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</si>
  <si>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</si>
  <si>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</si>
  <si>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</si>
  <si>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</si>
  <si>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</si>
  <si>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</si>
  <si>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</si>
  <si>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</si>
  <si>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</si>
  <si>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</si>
  <si>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</si>
  <si>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</si>
  <si>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</si>
  <si>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</si>
  <si>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</si>
  <si>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</si>
  <si>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</si>
  <si>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</si>
  <si>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</si>
  <si>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</si>
  <si>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</si>
  <si>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</si>
  <si>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</si>
  <si>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</si>
  <si>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</si>
  <si>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</si>
  <si>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</si>
  <si>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</si>
  <si>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</si>
  <si>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</si>
  <si>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</si>
  <si>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</si>
  <si>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</si>
  <si>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</si>
  <si>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</si>
  <si>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</si>
  <si>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</si>
  <si>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</si>
  <si>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</si>
  <si>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</si>
  <si>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</si>
  <si>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</si>
  <si>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</si>
  <si>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</si>
  <si>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</si>
  <si>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</si>
  <si>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</si>
  <si>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</si>
  <si>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</si>
  <si>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</si>
  <si>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</si>
  <si>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</si>
  <si>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</si>
  <si>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</si>
  <si>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</si>
  <si>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</si>
  <si>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</si>
  <si>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</si>
  <si>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</si>
  <si>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</si>
  <si>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</si>
  <si>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</si>
  <si>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</si>
  <si>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</si>
  <si>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</si>
  <si>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</si>
  <si>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</si>
  <si>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</si>
  <si>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</si>
  <si>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</si>
  <si>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</si>
  <si>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</si>
  <si>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</si>
  <si>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</si>
  <si>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</si>
  <si>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</si>
  <si>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</si>
  <si>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</si>
  <si>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</si>
  <si>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</si>
  <si>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</si>
  <si>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</si>
  <si>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</si>
  <si>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</si>
  <si>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</si>
  <si>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</si>
  <si>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</si>
  <si>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</si>
  <si>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</si>
  <si>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</si>
  <si>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</si>
  <si>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</si>
  <si>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</si>
  <si>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</si>
  <si>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</si>
  <si>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</si>
  <si>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</si>
  <si>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</si>
  <si>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</si>
  <si>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</si>
  <si>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</si>
  <si>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</si>
  <si>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</si>
  <si>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</si>
  <si>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</si>
  <si>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</si>
  <si>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</si>
  <si>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</si>
  <si>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</si>
  <si>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</si>
  <si>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</si>
  <si>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</si>
  <si>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</si>
  <si>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</si>
  <si>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</si>
  <si>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</si>
  <si>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</si>
  <si>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</si>
  <si>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</si>
  <si>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</si>
  <si>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</si>
  <si>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</si>
  <si>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</si>
  <si>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</si>
  <si>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</si>
  <si>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</si>
  <si>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</si>
  <si>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</si>
  <si>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</si>
  <si>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</si>
  <si>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</si>
  <si>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</si>
  <si>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</si>
  <si>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</si>
  <si>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</si>
  <si>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</si>
  <si>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</si>
  <si>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</si>
  <si>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</si>
  <si>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</si>
  <si>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</si>
  <si>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</si>
  <si>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</si>
  <si>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</si>
  <si>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</si>
  <si>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</si>
  <si>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</si>
  <si>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</si>
  <si>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</si>
  <si>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</si>
  <si>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</si>
  <si>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</si>
  <si>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</si>
  <si>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</si>
  <si>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</si>
  <si>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</si>
  <si>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</si>
  <si>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</si>
  <si>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</si>
  <si>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</si>
  <si>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</si>
  <si>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</si>
  <si>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</si>
  <si>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</si>
  <si>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</si>
  <si>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</si>
  <si>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</si>
  <si>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</si>
  <si>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</si>
  <si>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</si>
  <si>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</si>
  <si>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</si>
  <si>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</si>
  <si>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</si>
  <si>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</si>
  <si>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</si>
  <si>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</si>
  <si>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</si>
  <si>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</si>
  <si>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</si>
  <si>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</si>
  <si>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</si>
  <si>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</si>
  <si>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</si>
  <si>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</si>
  <si>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</si>
  <si>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</si>
  <si>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</si>
  <si>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</si>
  <si>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</si>
  <si>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</si>
  <si>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</si>
  <si>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</si>
  <si>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</si>
  <si>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</si>
  <si>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</si>
  <si>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</si>
  <si>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</si>
  <si>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</si>
  <si>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</si>
  <si>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</si>
  <si>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</si>
  <si>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</si>
  <si>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</si>
  <si>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</si>
  <si>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</si>
  <si>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</si>
  <si>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</si>
  <si>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</si>
  <si>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</si>
  <si>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</si>
  <si>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</si>
  <si>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</si>
  <si>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</si>
  <si>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</si>
  <si>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</si>
  <si>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</si>
  <si>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</si>
  <si>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</si>
  <si>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</si>
  <si>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</si>
  <si>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</si>
  <si>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</si>
  <si>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</si>
  <si>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</si>
  <si>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</si>
  <si>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</si>
  <si>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</si>
  <si>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</si>
  <si>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</si>
  <si>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</si>
  <si>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</si>
  <si>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</si>
  <si>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</si>
  <si>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</si>
  <si>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</si>
  <si>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</si>
  <si>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</si>
  <si>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</si>
  <si>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</si>
  <si>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</si>
  <si>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</si>
  <si>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</si>
  <si>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</si>
  <si>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</si>
  <si>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</si>
  <si>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</si>
  <si>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</si>
  <si>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</si>
  <si>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</si>
  <si>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</si>
  <si>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</si>
  <si>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</si>
  <si>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</si>
  <si>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</si>
  <si>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</si>
  <si>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</si>
  <si>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</si>
  <si>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</si>
  <si>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</si>
  <si>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</si>
  <si>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</si>
  <si>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</si>
  <si>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</si>
  <si>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</si>
  <si>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</si>
  <si>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</si>
  <si>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</si>
  <si>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</si>
  <si>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</si>
  <si>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</si>
  <si>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</si>
  <si>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</si>
  <si>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</si>
  <si>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</si>
  <si>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</si>
  <si>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</si>
  <si>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</si>
  <si>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</si>
  <si>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</si>
  <si>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</si>
  <si>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</si>
  <si>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</si>
  <si>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</si>
  <si>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</si>
  <si>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</si>
  <si>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</si>
  <si>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</si>
  <si>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</si>
  <si>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</si>
  <si>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</si>
  <si>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</si>
  <si>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</si>
  <si>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</si>
  <si>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</si>
  <si>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</si>
  <si>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</si>
  <si>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</si>
  <si>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</si>
  <si>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</si>
  <si>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</si>
  <si>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</si>
  <si>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</si>
  <si>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</si>
  <si>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</si>
  <si>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</si>
  <si>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</si>
  <si>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</si>
  <si>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</si>
  <si>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</si>
  <si>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</si>
  <si>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</si>
  <si>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</si>
  <si>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</si>
  <si>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</si>
  <si>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</si>
  <si>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</si>
  <si>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</si>
  <si>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</si>
  <si>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</si>
  <si>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</si>
  <si>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</si>
  <si>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</si>
  <si>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</si>
  <si>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</si>
  <si>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</si>
  <si>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</si>
  <si>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</si>
  <si>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</si>
  <si>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</si>
  <si>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</si>
  <si>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</si>
  <si>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</si>
  <si>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</si>
  <si>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</si>
  <si>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</si>
  <si>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</si>
  <si>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</si>
  <si>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</si>
  <si>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</si>
  <si>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</si>
  <si>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</si>
  <si>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</si>
  <si>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</si>
  <si>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</si>
  <si>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</si>
  <si>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</si>
  <si>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</si>
  <si>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</si>
  <si>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</si>
  <si>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</si>
  <si>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</si>
  <si>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</si>
  <si>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</si>
  <si>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</si>
  <si>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</si>
  <si>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</si>
  <si>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</si>
  <si>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</si>
  <si>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</si>
  <si>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</si>
  <si>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</si>
  <si>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</si>
  <si>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</si>
  <si>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</si>
  <si>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</si>
  <si>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</si>
  <si>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</si>
  <si>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</si>
  <si>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</si>
  <si>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</si>
  <si>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</si>
  <si>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</si>
  <si>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</si>
  <si>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</si>
  <si>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</si>
  <si>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</si>
  <si>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</si>
  <si>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</si>
  <si>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</si>
  <si>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</si>
  <si>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</si>
  <si>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</si>
  <si>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</si>
  <si>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</si>
  <si>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</si>
  <si>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</si>
  <si>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</si>
  <si>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</si>
  <si>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</si>
  <si>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</si>
  <si>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</si>
  <si>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</si>
  <si>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</si>
  <si>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</si>
  <si>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</si>
  <si>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</si>
  <si>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</si>
  <si>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</si>
  <si>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</si>
  <si>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</si>
  <si>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</si>
  <si>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</si>
  <si>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</si>
  <si>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</si>
  <si>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</si>
  <si>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</si>
  <si>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</si>
  <si>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</si>
  <si>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</si>
  <si>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</si>
  <si>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</si>
  <si>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</si>
  <si>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</si>
  <si>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</si>
  <si>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</si>
  <si>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</si>
  <si>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</si>
  <si>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</si>
  <si>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</si>
  <si>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</si>
  <si>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</si>
  <si>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</si>
  <si>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</si>
  <si>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</si>
  <si>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</si>
  <si>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</si>
  <si>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</si>
  <si>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</si>
  <si>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</si>
  <si>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</si>
  <si>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</si>
  <si>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</si>
  <si>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</si>
  <si>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</si>
  <si>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</si>
  <si>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</si>
  <si>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</si>
  <si>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</si>
  <si>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</si>
  <si>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</si>
  <si>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</si>
  <si>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</si>
  <si>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</si>
  <si>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</si>
  <si>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</si>
  <si>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</si>
  <si>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</si>
  <si>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</si>
  <si>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</si>
  <si>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</si>
  <si>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</si>
  <si>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</si>
  <si>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</si>
  <si>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</si>
  <si>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</si>
  <si>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</si>
  <si>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</si>
  <si>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</si>
  <si>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</si>
  <si>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</si>
  <si>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</si>
  <si>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</si>
  <si>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</si>
  <si>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</si>
  <si>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</si>
  <si>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</si>
  <si>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</si>
  <si>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</si>
  <si>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</si>
  <si>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</si>
  <si>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</si>
  <si>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</si>
  <si>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</si>
  <si>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</si>
  <si>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</si>
  <si>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</si>
  <si>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</si>
  <si>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</si>
  <si>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</si>
  <si>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</si>
  <si>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</si>
  <si>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</si>
  <si>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</si>
  <si>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</si>
  <si>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</si>
  <si>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</si>
  <si>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</si>
  <si>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</si>
  <si>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</si>
  <si>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</si>
  <si>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</si>
  <si>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</si>
  <si>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</si>
  <si>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</si>
  <si>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</si>
  <si>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</si>
  <si>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</si>
  <si>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</si>
  <si>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</si>
  <si>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</si>
  <si>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</si>
  <si>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</si>
  <si>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</si>
  <si>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</si>
  <si>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</si>
  <si>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</si>
  <si>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</si>
  <si>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</si>
  <si>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</si>
  <si>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</si>
  <si>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</si>
  <si>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</si>
  <si>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</si>
  <si>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</si>
  <si>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</si>
  <si>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</si>
  <si>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</si>
  <si>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</si>
  <si>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</si>
  <si>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</si>
  <si>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</si>
  <si>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</si>
  <si>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</si>
  <si>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</si>
  <si>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</si>
  <si>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</si>
  <si>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</si>
  <si>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</si>
  <si>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</si>
  <si>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</si>
  <si>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</si>
  <si>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</si>
  <si>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</si>
  <si>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</si>
  <si>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</si>
  <si>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</si>
  <si>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</si>
  <si>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</si>
  <si>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</si>
  <si>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</si>
  <si>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</si>
  <si>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</si>
  <si>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</si>
  <si>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</si>
  <si>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</si>
  <si>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</si>
  <si>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</si>
  <si>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</si>
  <si>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</si>
  <si>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</si>
  <si>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</si>
  <si>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</si>
  <si>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</si>
  <si>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</si>
  <si>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</si>
  <si>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</si>
  <si>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</si>
  <si>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</si>
  <si>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</si>
  <si>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</si>
  <si>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</si>
  <si>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</si>
  <si>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</si>
  <si>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</si>
  <si>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</si>
  <si>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</si>
  <si>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</si>
  <si>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</si>
  <si>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</si>
  <si>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</si>
  <si>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</si>
  <si>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</si>
  <si>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</si>
  <si>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</si>
  <si>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</si>
  <si>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</si>
  <si>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</si>
  <si>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</si>
  <si>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</si>
  <si>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</si>
  <si>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</si>
  <si>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</si>
  <si>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</si>
  <si>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</si>
  <si>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</si>
  <si>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</si>
  <si>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</si>
  <si>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</si>
  <si>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</si>
  <si>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</si>
  <si>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</si>
  <si>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</si>
  <si>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</si>
  <si>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</si>
  <si>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</si>
  <si>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</si>
  <si>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</si>
  <si>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</si>
  <si>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</si>
  <si>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</si>
  <si>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</si>
  <si>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</si>
  <si>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</si>
  <si>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</si>
  <si>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</si>
  <si>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</si>
  <si>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</si>
  <si>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</si>
  <si>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</si>
  <si>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</si>
  <si>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</si>
  <si>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</si>
  <si>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</si>
  <si>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</si>
  <si>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</si>
  <si>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</si>
  <si>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</si>
  <si>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</si>
  <si>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</si>
  <si>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</si>
  <si>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</si>
  <si>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</si>
  <si>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</si>
  <si>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</si>
  <si>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</si>
  <si>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</si>
  <si>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</si>
  <si>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</si>
  <si>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</si>
  <si>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</si>
  <si>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</si>
  <si>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</si>
  <si>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</si>
  <si>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</si>
  <si>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</si>
  <si>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</si>
  <si>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</si>
  <si>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</si>
  <si>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</si>
  <si>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</si>
  <si>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</si>
  <si>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</si>
  <si>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</si>
  <si>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</si>
  <si>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</si>
  <si>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</si>
  <si>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</si>
  <si>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</si>
  <si>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</si>
  <si>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</si>
  <si>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</si>
  <si>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</si>
  <si>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</si>
  <si>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</si>
  <si>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</si>
  <si>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</si>
  <si>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</si>
  <si>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</si>
  <si>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</si>
  <si>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</si>
  <si>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</si>
  <si>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</si>
  <si>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</si>
  <si>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</si>
  <si>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</si>
  <si>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</si>
  <si>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</si>
  <si>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</si>
  <si>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</si>
  <si>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</si>
  <si>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</si>
  <si>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</si>
  <si>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</si>
  <si>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</si>
  <si>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</si>
  <si>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</si>
  <si>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</si>
  <si>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</si>
  <si>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</si>
  <si>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</si>
  <si>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</si>
  <si>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</si>
  <si>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</si>
  <si>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</si>
  <si>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</si>
  <si>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</si>
  <si>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</si>
  <si>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</si>
  <si>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</si>
  <si>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</si>
  <si>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</si>
  <si>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</si>
  <si>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</si>
  <si>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</si>
  <si>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</si>
  <si>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</si>
  <si>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</si>
  <si>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</si>
  <si>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</si>
  <si>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</si>
  <si>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</si>
  <si>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</si>
  <si>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</si>
  <si>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</si>
  <si>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</si>
  <si>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</si>
  <si>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</si>
  <si>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</si>
  <si>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</si>
  <si>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</si>
  <si>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</si>
  <si>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</si>
  <si>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</si>
  <si>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</si>
  <si>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</si>
  <si>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</si>
  <si>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</si>
  <si>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</si>
  <si>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</si>
  <si>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</si>
  <si>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</si>
  <si>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</si>
  <si>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</si>
  <si>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</si>
  <si>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</si>
  <si>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</si>
  <si>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</si>
  <si>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</si>
  <si>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</si>
  <si>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</si>
  <si>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</si>
  <si>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</si>
  <si>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</si>
  <si>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</si>
  <si>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</si>
  <si>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</si>
  <si>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</si>
  <si>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</si>
  <si>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</si>
  <si>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</si>
  <si>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</si>
  <si>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</si>
  <si>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</si>
  <si>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</si>
  <si>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</si>
  <si>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</si>
  <si>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</si>
  <si>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</si>
  <si>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</si>
  <si>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</si>
  <si>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</si>
  <si>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</si>
  <si>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</si>
  <si>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</si>
  <si>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</si>
  <si>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</si>
  <si>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</si>
  <si>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</si>
  <si>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</si>
  <si>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</si>
  <si>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</si>
  <si>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</si>
  <si>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</si>
  <si>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</si>
  <si>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</si>
  <si>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</si>
  <si>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</si>
  <si>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</si>
  <si>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</si>
  <si>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</si>
  <si>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</si>
  <si>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</si>
  <si>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</si>
  <si>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</si>
  <si>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</si>
  <si>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</si>
  <si>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</si>
  <si>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</si>
  <si>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</si>
  <si>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</si>
  <si>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</si>
  <si>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</si>
  <si>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</si>
  <si>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</si>
  <si>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</si>
  <si>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</si>
  <si>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</si>
  <si>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</si>
  <si>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</si>
  <si>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</si>
  <si>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</si>
  <si>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</si>
  <si>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</si>
  <si>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</si>
  <si>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</si>
  <si>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</si>
  <si>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</si>
  <si>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</si>
  <si>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</si>
  <si>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</si>
  <si>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</si>
  <si>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</si>
  <si>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</si>
  <si>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</si>
  <si>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</si>
  <si>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</si>
  <si>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</si>
  <si>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</si>
  <si>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</si>
  <si>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</si>
  <si>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</si>
  <si>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</si>
  <si>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</si>
  <si>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</si>
  <si>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</si>
  <si>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</si>
  <si>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</si>
  <si>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</si>
  <si>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</si>
  <si>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</si>
  <si>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</si>
  <si>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</si>
  <si>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</si>
  <si>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</si>
  <si>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</si>
  <si>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</si>
  <si>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</si>
  <si>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</si>
  <si>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</si>
  <si>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</si>
  <si>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</si>
  <si>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</si>
  <si>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</si>
  <si>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</si>
  <si>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</si>
  <si>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</si>
  <si>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</si>
  <si>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</si>
  <si>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</si>
  <si>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</si>
  <si>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</si>
  <si>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</si>
  <si>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</si>
  <si>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</si>
  <si>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</si>
  <si>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</si>
  <si>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</si>
  <si>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</si>
  <si>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</si>
  <si>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</si>
  <si>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</si>
  <si>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</si>
  <si>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</si>
  <si>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</si>
  <si>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</si>
  <si>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</si>
  <si>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</si>
  <si>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</si>
  <si>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</si>
  <si>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</si>
  <si>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</si>
  <si>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</si>
  <si>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</si>
  <si>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</si>
  <si>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</si>
  <si>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</si>
  <si>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</si>
  <si>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</si>
  <si>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</si>
  <si>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</si>
  <si>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</si>
  <si>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</si>
  <si>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</si>
  <si>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</si>
  <si>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</si>
  <si>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</si>
  <si>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</si>
  <si>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</si>
  <si>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</si>
  <si>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</si>
  <si>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</si>
  <si>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</si>
  <si>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</si>
  <si>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</si>
  <si>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</si>
  <si>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</si>
  <si>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</si>
  <si>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</si>
  <si>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</si>
  <si>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</si>
  <si>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</si>
  <si>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</si>
  <si>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</si>
  <si>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</si>
  <si>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</si>
  <si>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</si>
  <si>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</si>
  <si>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</si>
  <si>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</si>
  <si>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</si>
  <si>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</si>
  <si>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</si>
  <si>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</si>
  <si>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</si>
  <si>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</si>
  <si>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</si>
  <si>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</si>
  <si>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</si>
  <si>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</si>
  <si>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</si>
  <si>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</si>
  <si>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</si>
  <si>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</si>
  <si>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</si>
  <si>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</si>
  <si>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</si>
  <si>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</si>
  <si>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</si>
  <si>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</si>
  <si>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</si>
  <si>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</si>
  <si>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</si>
  <si>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</si>
  <si>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</si>
  <si>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</si>
  <si>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</si>
  <si>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</si>
  <si>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</si>
  <si>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</si>
  <si>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</si>
  <si>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</si>
  <si>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</si>
  <si>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</si>
  <si>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</si>
  <si>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</si>
  <si>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</si>
  <si>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</si>
  <si>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</si>
  <si>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</si>
  <si>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</si>
  <si>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</si>
  <si>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</si>
  <si>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</si>
  <si>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</si>
  <si>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</si>
  <si>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</si>
  <si>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</si>
  <si>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</si>
  <si>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</si>
  <si>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</si>
  <si>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</si>
  <si>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</si>
  <si>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</si>
  <si>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</si>
  <si>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</si>
  <si>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</si>
  <si>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</si>
  <si>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</si>
  <si>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</si>
  <si>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</si>
  <si>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</si>
  <si>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</si>
  <si>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</si>
  <si>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</si>
  <si>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</si>
  <si>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</si>
  <si>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</si>
  <si>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</si>
  <si>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</si>
  <si>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</si>
  <si>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</si>
  <si>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</si>
  <si>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</si>
  <si>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</si>
  <si>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</si>
  <si>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</si>
  <si>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</si>
  <si>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</si>
  <si>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</si>
  <si>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</si>
  <si>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</si>
  <si>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</si>
  <si>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</si>
  <si>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</si>
  <si>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</si>
  <si>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</si>
  <si>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</si>
  <si>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</si>
  <si>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</si>
  <si>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</si>
  <si>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</si>
  <si>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</si>
  <si>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</si>
  <si>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</si>
  <si>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</si>
  <si>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</si>
  <si>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</si>
  <si>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</si>
  <si>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</si>
  <si>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</si>
  <si>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</si>
  <si>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</si>
  <si>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</si>
  <si>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</si>
  <si>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</si>
  <si>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</si>
  <si>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</si>
  <si>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</si>
  <si>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</si>
  <si>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</si>
  <si>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</si>
  <si>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</si>
  <si>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</si>
  <si>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</si>
  <si>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</si>
  <si>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</si>
  <si>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</si>
  <si>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</si>
  <si>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</si>
  <si>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</si>
  <si>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</si>
  <si>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</si>
  <si>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</si>
  <si>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</si>
  <si>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</si>
  <si>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</si>
  <si>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</si>
  <si>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</si>
  <si>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</si>
  <si>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</si>
  <si>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</si>
  <si>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</si>
  <si>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</si>
  <si>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</si>
  <si>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</si>
  <si>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</si>
  <si>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</si>
  <si>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</si>
  <si>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</si>
  <si>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</si>
  <si>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</si>
  <si>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</si>
  <si>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</si>
  <si>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</si>
  <si>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</si>
  <si>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</si>
  <si>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</si>
  <si>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</si>
  <si>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</si>
  <si>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</si>
  <si>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</si>
  <si>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</si>
  <si>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</si>
  <si>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</si>
  <si>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</si>
  <si>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</si>
  <si>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</si>
  <si>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</si>
  <si>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</si>
  <si>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</si>
  <si>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</si>
  <si>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</si>
  <si>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</si>
  <si>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</si>
  <si>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</si>
  <si>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</si>
  <si>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</si>
  <si>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</si>
  <si>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</si>
  <si>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</si>
  <si>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</si>
  <si>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</si>
  <si>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</si>
  <si>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</si>
  <si>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</si>
  <si>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</si>
  <si>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</si>
  <si>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</si>
  <si>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</si>
  <si>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</si>
  <si>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</si>
  <si>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</si>
  <si>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</si>
  <si>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</si>
  <si>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</si>
  <si>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</si>
  <si>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</si>
  <si>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</si>
  <si>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</si>
  <si>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</si>
  <si>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</si>
  <si>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</si>
  <si>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</si>
  <si>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</si>
  <si>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</si>
  <si>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</si>
  <si>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</si>
  <si>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</si>
  <si>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</si>
  <si>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</si>
  <si>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</si>
  <si>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</si>
  <si>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</si>
  <si>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</si>
  <si>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</si>
  <si>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</si>
  <si>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</si>
  <si>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</si>
  <si>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</si>
  <si>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</si>
  <si>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</si>
  <si>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</si>
  <si>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</si>
  <si>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</si>
  <si>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</si>
  <si>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</si>
  <si>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</si>
  <si>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</si>
  <si>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</si>
  <si>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</si>
  <si>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</si>
  <si>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</si>
  <si>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</si>
  <si>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</si>
  <si>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</si>
  <si>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</si>
  <si>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</si>
  <si>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</si>
  <si>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</si>
  <si>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</si>
  <si>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</si>
  <si>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</si>
  <si>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</si>
  <si>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</si>
  <si>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</si>
  <si>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</si>
  <si>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</si>
  <si>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</si>
  <si>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</si>
  <si>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</si>
  <si>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</si>
  <si>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</si>
  <si>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</si>
  <si>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</si>
  <si>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</si>
  <si>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</si>
  <si>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</si>
  <si>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</si>
  <si>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</si>
  <si>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</si>
  <si>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</si>
  <si>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</si>
  <si>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</si>
  <si>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</si>
  <si>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</si>
  <si>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</si>
  <si>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</si>
  <si>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</si>
  <si>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</si>
  <si>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</si>
  <si>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</si>
  <si>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</si>
  <si>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</si>
  <si>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</si>
  <si>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</si>
  <si>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</si>
  <si>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</si>
  <si>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</si>
  <si>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</si>
  <si>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</si>
  <si>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</si>
  <si>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</si>
  <si>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</si>
  <si>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</si>
  <si>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</si>
  <si>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</si>
  <si>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</si>
  <si>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</si>
  <si>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</si>
  <si>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</si>
  <si>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</si>
  <si>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</si>
  <si>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</si>
  <si>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</si>
  <si>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</si>
  <si>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</si>
  <si>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</si>
  <si>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</si>
  <si>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</si>
  <si>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</si>
  <si>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</si>
  <si>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</si>
  <si>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</si>
  <si>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</si>
  <si>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</si>
  <si>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</si>
  <si>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</si>
  <si>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</si>
  <si>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</si>
  <si>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</si>
  <si>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</si>
  <si>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</si>
  <si>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</si>
  <si>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</si>
  <si>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</si>
  <si>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</si>
  <si>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</si>
  <si>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</si>
  <si>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</si>
  <si>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</si>
  <si>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</si>
  <si>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</si>
  <si>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</si>
  <si>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</si>
  <si>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</si>
  <si>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</si>
  <si>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</si>
  <si>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</si>
  <si>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</si>
  <si>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</si>
  <si>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</si>
  <si>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</si>
  <si>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</si>
  <si>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</si>
  <si>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</si>
  <si>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</si>
  <si>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</si>
  <si>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</si>
  <si>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</si>
  <si>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</si>
  <si>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</si>
  <si>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</si>
  <si>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</si>
  <si>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</si>
  <si>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</si>
  <si>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</si>
  <si>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</si>
  <si>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</si>
  <si>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</si>
  <si>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</si>
  <si>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</si>
  <si>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</si>
  <si>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</si>
  <si>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</si>
  <si>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</si>
  <si>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</si>
  <si>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</si>
  <si>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</si>
  <si>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</si>
  <si>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</si>
  <si>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</si>
  <si>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</si>
  <si>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</si>
  <si>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</si>
  <si>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</si>
  <si>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</si>
  <si>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</si>
  <si>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</si>
  <si>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</si>
  <si>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</si>
  <si>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</si>
  <si>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</si>
  <si>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</si>
  <si>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</si>
  <si>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</si>
  <si>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</si>
  <si>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</si>
  <si>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</si>
  <si>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</si>
  <si>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</si>
  <si>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</si>
  <si>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</si>
  <si>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</si>
  <si>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</si>
  <si>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</si>
  <si>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</si>
  <si>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</si>
  <si>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</si>
  <si>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</si>
  <si>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</si>
  <si>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</si>
  <si>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</si>
  <si>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</si>
  <si>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</si>
  <si>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</si>
  <si>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</si>
  <si>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</si>
  <si>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</si>
  <si>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</si>
  <si>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</si>
  <si>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</si>
  <si>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</si>
  <si>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</si>
  <si>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</si>
  <si>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</si>
  <si>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</si>
  <si>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</si>
  <si>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</si>
  <si>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</si>
  <si>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</si>
  <si>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</si>
  <si>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</si>
  <si>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</si>
  <si>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</si>
  <si>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</si>
  <si>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</si>
  <si>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</si>
  <si>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</si>
  <si>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</si>
  <si>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</si>
  <si>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</si>
  <si>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</si>
  <si>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</si>
  <si>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</si>
  <si>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</si>
  <si>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</si>
  <si>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</si>
  <si>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</si>
  <si>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</si>
  <si>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</si>
  <si>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</si>
  <si>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</si>
  <si>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</si>
  <si>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</si>
  <si>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</si>
  <si>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</si>
  <si>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</si>
  <si>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</si>
  <si>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</si>
  <si>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</si>
  <si>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</si>
  <si>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</si>
  <si>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</si>
  <si>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</si>
  <si>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</si>
  <si>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</si>
  <si>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</si>
  <si>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</si>
  <si>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</si>
  <si>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</si>
  <si>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</si>
  <si>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</si>
  <si>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</si>
  <si>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</si>
  <si>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</si>
  <si>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</si>
  <si>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</si>
  <si>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</si>
  <si>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</si>
  <si>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</si>
  <si>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</si>
  <si>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</si>
  <si>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</si>
  <si>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</si>
  <si>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</si>
  <si>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</si>
  <si>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</si>
  <si>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</si>
  <si>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</si>
  <si>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</si>
  <si>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</si>
  <si>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</si>
  <si>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</si>
  <si>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</si>
  <si>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</si>
  <si>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</si>
  <si>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</si>
  <si>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</si>
  <si>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</si>
  <si>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</si>
  <si>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</si>
  <si>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</si>
  <si>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</si>
  <si>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</si>
  <si>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</si>
  <si>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</si>
  <si>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</si>
  <si>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</si>
  <si>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</si>
  <si>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</si>
  <si>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</si>
  <si>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</si>
  <si>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</si>
  <si>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</si>
  <si>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</si>
  <si>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</si>
  <si>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</si>
  <si>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</si>
  <si>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</si>
  <si>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</si>
  <si>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</si>
  <si>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</si>
  <si>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</si>
  <si>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</si>
  <si>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</si>
  <si>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</si>
  <si>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</si>
  <si>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</si>
  <si>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</si>
  <si>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</si>
  <si>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</si>
  <si>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</si>
  <si>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</si>
  <si>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</si>
  <si>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</si>
  <si>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</si>
  <si>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</si>
  <si>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</si>
  <si>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</si>
  <si>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</si>
  <si>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</si>
  <si>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</si>
  <si>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</si>
  <si>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</si>
  <si>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</si>
  <si>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</si>
  <si>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</si>
  <si>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</si>
  <si>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</si>
  <si>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</si>
  <si>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</si>
  <si>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</si>
  <si>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</si>
  <si>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</si>
  <si>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</si>
  <si>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</si>
  <si>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</si>
  <si>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</si>
  <si>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</si>
  <si>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</si>
  <si>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</si>
  <si>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</si>
  <si>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</si>
  <si>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</si>
  <si>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</si>
  <si>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</si>
  <si>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</si>
  <si>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</si>
  <si>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</si>
  <si>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</si>
  <si>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</si>
  <si>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</si>
  <si>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</si>
  <si>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</si>
  <si>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</si>
  <si>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</si>
  <si>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</si>
  <si>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</si>
  <si>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</si>
  <si>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</si>
  <si>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</si>
  <si>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</si>
  <si>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</si>
  <si>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</si>
  <si>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</si>
  <si>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</si>
  <si>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</si>
  <si>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</si>
  <si>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</si>
  <si>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</si>
  <si>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</si>
  <si>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</si>
  <si>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</si>
  <si>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</si>
  <si>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</si>
  <si>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</si>
  <si>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</si>
  <si>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</si>
  <si>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</si>
  <si>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</si>
  <si>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</si>
  <si>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</si>
  <si>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</si>
  <si>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</si>
  <si>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</si>
  <si>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</si>
  <si>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</si>
  <si>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</si>
  <si>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</si>
  <si>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</si>
  <si>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</si>
  <si>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</si>
  <si>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</si>
  <si>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</si>
  <si>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</si>
  <si>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</si>
  <si>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</si>
  <si>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</si>
  <si>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</si>
  <si>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</si>
  <si>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</si>
  <si>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</si>
  <si>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</si>
  <si>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</si>
  <si>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</si>
  <si>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</si>
  <si>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</si>
  <si>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</si>
  <si>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</si>
  <si>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</si>
  <si>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</si>
  <si>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</si>
  <si>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</si>
  <si>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</si>
  <si>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</si>
  <si>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</si>
  <si>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</si>
  <si>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</si>
  <si>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</si>
  <si>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</si>
  <si>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</si>
  <si>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</si>
  <si>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</si>
  <si>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</si>
  <si>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</si>
  <si>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</si>
  <si>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</si>
  <si>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</si>
  <si>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</si>
  <si>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</si>
  <si>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</si>
  <si>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</si>
  <si>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</si>
  <si>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</si>
  <si>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</si>
  <si>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</si>
  <si>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</si>
  <si>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</si>
  <si>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</si>
  <si>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</si>
  <si>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</si>
  <si>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</si>
  <si>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</si>
  <si>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</si>
  <si>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</si>
  <si>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</si>
  <si>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</si>
  <si>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</si>
  <si>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</si>
  <si>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</si>
  <si>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</si>
  <si>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</si>
  <si>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</si>
  <si>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</si>
  <si>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</si>
  <si>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</si>
  <si>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</si>
  <si>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</si>
  <si>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</si>
  <si>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</si>
  <si>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</si>
  <si>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</si>
  <si>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</si>
  <si>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</si>
  <si>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</si>
  <si>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</si>
  <si>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</si>
  <si>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</si>
  <si>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</si>
  <si>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</si>
  <si>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</si>
  <si>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</si>
  <si>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</si>
  <si>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</si>
  <si>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</si>
  <si>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</si>
  <si>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</si>
  <si>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</si>
  <si>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</si>
  <si>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</si>
  <si>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</si>
  <si>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</si>
  <si>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</si>
  <si>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</si>
  <si>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</si>
  <si>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</si>
  <si>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</si>
  <si>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</si>
  <si>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</si>
  <si>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</si>
  <si>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</si>
  <si>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</si>
  <si>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</si>
  <si>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</si>
  <si>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</si>
  <si>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</si>
  <si>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</si>
  <si>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</si>
  <si>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</si>
  <si>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</si>
  <si>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</si>
  <si>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</si>
  <si>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</si>
  <si>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</si>
  <si>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</si>
  <si>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</si>
  <si>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</si>
  <si>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</si>
  <si>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</si>
  <si>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</si>
  <si>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</si>
  <si>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</si>
  <si>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</si>
  <si>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</si>
  <si>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</si>
  <si>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</si>
  <si>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</si>
  <si>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</si>
  <si>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</si>
  <si>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</si>
  <si>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</si>
  <si>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</si>
  <si>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</si>
  <si>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</si>
  <si>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</si>
  <si>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</si>
  <si>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</si>
  <si>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</si>
  <si>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</si>
  <si>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</si>
  <si>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</si>
  <si>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</si>
  <si>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</si>
  <si>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</si>
  <si>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</si>
  <si>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</si>
  <si>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</si>
  <si>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</si>
  <si>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</si>
  <si>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</si>
  <si>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</si>
  <si>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</si>
  <si>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</si>
  <si>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</si>
  <si>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</si>
  <si>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</si>
  <si>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</si>
  <si>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</si>
  <si>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</si>
  <si>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</si>
  <si>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</si>
  <si>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</si>
  <si>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</si>
  <si>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</si>
  <si>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</si>
  <si>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</si>
  <si>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</si>
  <si>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</si>
  <si>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</si>
  <si>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</si>
  <si>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</si>
  <si>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</si>
  <si>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</si>
  <si>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</si>
  <si>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</si>
  <si>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</si>
  <si>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</si>
  <si>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</si>
  <si>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</si>
  <si>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</si>
  <si>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</si>
  <si>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</si>
  <si>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</si>
  <si>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</si>
  <si>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</si>
  <si>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</si>
  <si>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</si>
  <si>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</si>
  <si>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</si>
  <si>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</si>
  <si>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</si>
  <si>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</si>
  <si>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</si>
  <si>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</si>
  <si>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</si>
  <si>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</si>
  <si>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</si>
  <si>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</si>
  <si>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</si>
  <si>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</si>
  <si>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</si>
  <si>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</si>
  <si>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</si>
  <si>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</si>
  <si>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</si>
  <si>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</si>
  <si>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</si>
  <si>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</si>
  <si>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</si>
  <si>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</si>
  <si>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</si>
  <si>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</si>
  <si>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</si>
  <si>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</si>
  <si>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</si>
  <si>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</si>
  <si>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</si>
  <si>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</si>
  <si>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</si>
  <si>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</si>
  <si>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</si>
  <si>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</si>
  <si>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</si>
  <si>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</si>
  <si>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</si>
  <si>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</si>
  <si>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</si>
  <si>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</si>
  <si>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</si>
  <si>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</si>
  <si>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</si>
  <si>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</si>
  <si>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</si>
  <si>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</si>
  <si>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</si>
  <si>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</si>
  <si>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</si>
  <si>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</si>
  <si>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</si>
  <si>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</si>
  <si>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</si>
  <si>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</si>
  <si>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</si>
  <si>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</si>
  <si>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</si>
  <si>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</si>
  <si>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</si>
  <si>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</si>
  <si>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</si>
  <si>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</si>
  <si>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</si>
  <si>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</si>
  <si>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</si>
  <si>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</si>
  <si>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</si>
  <si>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</si>
  <si>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</si>
  <si>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</si>
  <si>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</si>
  <si>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</si>
  <si>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</si>
  <si>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</si>
  <si>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</si>
  <si>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</si>
  <si>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</si>
  <si>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</si>
  <si>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</si>
  <si>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</si>
  <si>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</si>
  <si>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</si>
  <si>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</si>
  <si>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</si>
  <si>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</si>
  <si>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</si>
  <si>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</si>
  <si>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</si>
  <si>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</si>
  <si>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</si>
  <si>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</si>
  <si>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</si>
  <si>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</si>
  <si>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</si>
  <si>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</si>
  <si>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</si>
  <si>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</si>
  <si>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</si>
  <si>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</si>
  <si>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</si>
  <si>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</si>
  <si>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</si>
  <si>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</si>
  <si>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</si>
  <si>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</si>
  <si>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</si>
  <si>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</si>
  <si>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</si>
  <si>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</si>
  <si>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</si>
  <si>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</si>
  <si>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</si>
  <si>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</si>
  <si>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</si>
  <si>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</si>
  <si>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</si>
  <si>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</si>
  <si>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</si>
  <si>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</si>
  <si>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</si>
  <si>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</si>
  <si>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</si>
  <si>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</si>
  <si>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</si>
  <si>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</si>
  <si>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</si>
  <si>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</si>
  <si>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</si>
  <si>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</si>
  <si>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</si>
  <si>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</si>
  <si>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</si>
  <si>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</si>
  <si>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</si>
  <si>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</si>
  <si>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</si>
  <si>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</si>
  <si>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</si>
  <si>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</si>
  <si>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</si>
  <si>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</si>
  <si>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</si>
  <si>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</si>
  <si>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</si>
  <si>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</si>
  <si>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</si>
  <si>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</si>
  <si>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</si>
  <si>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</si>
  <si>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</si>
  <si>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</si>
  <si>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</si>
  <si>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</si>
  <si>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</si>
  <si>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</si>
  <si>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</si>
  <si>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</si>
  <si>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</si>
  <si>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</si>
  <si>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</si>
  <si>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</si>
  <si>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</si>
  <si>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</si>
  <si>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</si>
  <si>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</si>
  <si>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</si>
  <si>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</si>
  <si>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</si>
  <si>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</si>
  <si>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</si>
  <si>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</si>
  <si>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</si>
  <si>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</si>
  <si>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</si>
  <si>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</si>
  <si>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</si>
  <si>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</si>
  <si>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</si>
  <si>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</si>
  <si>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</si>
  <si>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</si>
  <si>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</si>
  <si>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</si>
  <si>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</si>
  <si>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</si>
  <si>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</si>
  <si>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</si>
  <si>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</si>
  <si>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</si>
  <si>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</si>
  <si>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</si>
  <si>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</si>
  <si>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</si>
  <si>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</si>
  <si>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</si>
  <si>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</si>
  <si>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</si>
  <si>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</si>
  <si>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</si>
  <si>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</si>
  <si>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</si>
  <si>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</si>
  <si>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</si>
  <si>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</si>
  <si>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</si>
  <si>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</si>
  <si>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</si>
  <si>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</si>
  <si>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</si>
  <si>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</si>
  <si>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</si>
  <si>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</si>
  <si>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</si>
  <si>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</si>
  <si>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</si>
  <si>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</si>
  <si>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</si>
  <si>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</si>
  <si>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</si>
  <si>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</si>
  <si>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</si>
  <si>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</si>
  <si>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</si>
  <si>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</si>
  <si>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</si>
  <si>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</si>
  <si>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</si>
  <si>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</si>
  <si>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</si>
  <si>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</si>
  <si>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</si>
  <si>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</si>
  <si>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</si>
  <si>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</si>
  <si>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</si>
  <si>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</si>
  <si>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</si>
  <si>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</si>
  <si>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</si>
  <si>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</si>
  <si>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</si>
  <si>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</si>
  <si>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</si>
  <si>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</si>
  <si>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</si>
  <si>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</si>
  <si>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</si>
  <si>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</si>
  <si>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</si>
  <si>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</si>
  <si>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</si>
  <si>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</si>
  <si>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</si>
  <si>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</si>
  <si>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</si>
  <si>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</si>
  <si>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</si>
  <si>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</si>
  <si>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</si>
  <si>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</si>
  <si>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</si>
  <si>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</si>
  <si>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</si>
  <si>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</si>
  <si>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</si>
  <si>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</si>
  <si>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</si>
  <si>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</si>
  <si>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</si>
  <si>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</si>
  <si>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</si>
  <si>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</si>
  <si>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</si>
  <si>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</si>
  <si>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</si>
  <si>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</si>
  <si>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</si>
  <si>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</si>
  <si>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</si>
  <si>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</si>
  <si>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</si>
  <si>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</si>
  <si>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</si>
  <si>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</si>
  <si>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</si>
  <si>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</si>
  <si>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</si>
  <si>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</si>
  <si>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</si>
  <si>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</si>
  <si>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</si>
  <si>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</si>
  <si>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</si>
  <si>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</si>
  <si>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</si>
  <si>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</si>
  <si>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</si>
  <si>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</si>
  <si>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</si>
  <si>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</si>
  <si>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</si>
  <si>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</si>
  <si>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</si>
  <si>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</si>
  <si>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</si>
  <si>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</si>
  <si>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</si>
  <si>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</si>
  <si>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</si>
  <si>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</si>
  <si>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</si>
  <si>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</si>
  <si>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</si>
  <si>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</si>
  <si>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</si>
  <si>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</si>
  <si>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</si>
  <si>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</si>
  <si>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</si>
  <si>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</si>
  <si>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</si>
  <si>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</si>
  <si>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</si>
  <si>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</si>
  <si>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</si>
  <si>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</si>
  <si>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</si>
  <si>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</si>
  <si>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</si>
  <si>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</si>
  <si>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</si>
  <si>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</si>
  <si>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</si>
  <si>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</si>
  <si>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</si>
  <si>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</si>
  <si>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</si>
  <si>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</si>
  <si>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</si>
  <si>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</si>
  <si>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</si>
  <si>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</si>
  <si>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</si>
  <si>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</si>
  <si>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</si>
  <si>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</si>
  <si>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</si>
  <si>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</si>
  <si>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</si>
  <si>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</si>
  <si>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</si>
  <si>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</si>
  <si>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</si>
  <si>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</si>
  <si>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</si>
  <si>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</si>
  <si>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</si>
  <si>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</si>
  <si>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</si>
  <si>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</si>
  <si>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</si>
  <si>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</si>
  <si>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</si>
  <si>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</si>
  <si>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</si>
  <si>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</si>
  <si>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</si>
  <si>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</si>
  <si>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</si>
  <si>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</si>
  <si>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</si>
  <si>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</si>
  <si>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</si>
  <si>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</si>
  <si>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</si>
  <si>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</si>
  <si>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</si>
  <si>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</si>
  <si>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</si>
  <si>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</si>
  <si>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</si>
  <si>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</si>
  <si>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</si>
  <si>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</si>
  <si>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</si>
  <si>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</si>
  <si>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</si>
  <si>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</si>
  <si>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</si>
  <si>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</si>
  <si>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</si>
  <si>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</si>
  <si>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</si>
  <si>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</si>
  <si>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</si>
  <si>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</si>
  <si>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</si>
  <si>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</si>
  <si>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</si>
  <si>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</si>
  <si>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</si>
  <si>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</si>
  <si>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</si>
  <si>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</si>
  <si>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</si>
  <si>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</si>
  <si>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</si>
  <si>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</si>
  <si>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</si>
  <si>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</si>
  <si>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</si>
  <si>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</si>
  <si>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</si>
  <si>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</si>
  <si>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</si>
  <si>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</si>
  <si>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</si>
  <si>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</si>
  <si>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</si>
  <si>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</si>
  <si>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</si>
  <si>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</si>
  <si>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</si>
  <si>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</si>
  <si>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</si>
  <si>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</si>
  <si>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</si>
  <si>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</si>
  <si>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</si>
  <si>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</si>
  <si>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</si>
  <si>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</si>
  <si>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</si>
  <si>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</si>
  <si>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</si>
  <si>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</si>
  <si>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</si>
  <si>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</si>
  <si>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</si>
  <si>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</si>
  <si>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</si>
  <si>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</si>
  <si>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</si>
  <si>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</si>
  <si>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</si>
  <si>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</si>
  <si>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</si>
  <si>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</si>
  <si>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</si>
  <si>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</si>
  <si>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</si>
  <si>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</si>
  <si>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</si>
  <si>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</si>
  <si>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</si>
  <si>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</si>
  <si>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</si>
  <si>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</si>
  <si>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</si>
  <si>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</si>
  <si>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</si>
  <si>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</si>
  <si>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</si>
  <si>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</si>
  <si>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</si>
  <si>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</si>
  <si>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</si>
  <si>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</si>
  <si>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</si>
  <si>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</si>
  <si>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</si>
  <si>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</si>
  <si>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</si>
  <si>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</si>
  <si>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</si>
  <si>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</si>
  <si>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</si>
  <si>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</si>
  <si>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</si>
  <si>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</si>
  <si>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</si>
  <si>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</si>
  <si>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</si>
  <si>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</si>
  <si>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</si>
  <si>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</si>
  <si>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</si>
  <si>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</si>
  <si>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</si>
  <si>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</si>
  <si>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</si>
  <si>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</si>
  <si>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</si>
  <si>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</si>
  <si>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</si>
  <si>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</si>
  <si>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</si>
  <si>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</si>
  <si>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</si>
  <si>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</si>
  <si>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</si>
  <si>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</si>
  <si>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</si>
  <si>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</si>
  <si>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</si>
  <si>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</si>
  <si>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</si>
  <si>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</si>
  <si>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</si>
  <si>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</si>
  <si>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</si>
  <si>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</si>
  <si>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</si>
  <si>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</si>
  <si>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</si>
  <si>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</si>
  <si>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</si>
  <si>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</si>
  <si>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</si>
  <si>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</si>
  <si>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</si>
  <si>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</si>
  <si>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</si>
  <si>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</si>
  <si>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</si>
  <si>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</si>
  <si>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</si>
  <si>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</si>
  <si>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</si>
  <si>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</si>
  <si>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</si>
  <si>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</si>
  <si>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</si>
  <si>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</si>
  <si>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</si>
  <si>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</si>
  <si>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</si>
  <si>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</si>
  <si>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</si>
  <si>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</si>
  <si>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</si>
  <si>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</si>
  <si>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</si>
  <si>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</si>
  <si>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</si>
  <si>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</si>
  <si>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</si>
  <si>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</si>
  <si>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</si>
  <si>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</si>
  <si>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</si>
  <si>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</si>
  <si>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</si>
  <si>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</si>
  <si>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</si>
  <si>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</si>
  <si>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</si>
  <si>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</si>
  <si>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</si>
  <si>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</si>
  <si>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</si>
  <si>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</si>
  <si>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</si>
  <si>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</si>
  <si>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</si>
  <si>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</si>
  <si>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</si>
  <si>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</si>
  <si>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</si>
  <si>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</si>
  <si>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</si>
  <si>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</si>
  <si>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</si>
  <si>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</si>
  <si>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</si>
  <si>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</si>
  <si>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</si>
  <si>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</si>
  <si>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</si>
  <si>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</si>
  <si>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</si>
  <si>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</si>
  <si>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</si>
  <si>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</si>
  <si>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</si>
  <si>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</si>
  <si>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</si>
  <si>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</si>
  <si>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</si>
  <si>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</si>
  <si>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</si>
  <si>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</si>
  <si>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</si>
  <si>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</si>
  <si>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</si>
  <si>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</si>
  <si>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</si>
  <si>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</si>
  <si>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</si>
  <si>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</si>
  <si>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</si>
  <si>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</si>
  <si>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</si>
  <si>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</si>
  <si>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</si>
  <si>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</si>
  <si>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</si>
  <si>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</si>
  <si>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</si>
  <si>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</si>
  <si>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</si>
  <si>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</si>
  <si>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</si>
  <si>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</si>
  <si>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</si>
  <si>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</si>
  <si>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</si>
  <si>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</si>
  <si>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</si>
  <si>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</si>
  <si>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</si>
  <si>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</si>
  <si>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</si>
  <si>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</si>
  <si>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</si>
  <si>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</si>
  <si>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</si>
  <si>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</si>
  <si>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</si>
  <si>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</si>
  <si>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</si>
  <si>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</si>
  <si>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</si>
  <si>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</si>
  <si>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</si>
  <si>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</si>
  <si>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</si>
  <si>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</si>
  <si>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</si>
  <si>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</si>
  <si>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</si>
  <si>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</si>
  <si>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</si>
  <si>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</si>
  <si>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</si>
  <si>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</si>
  <si>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</si>
  <si>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</si>
  <si>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</si>
  <si>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</si>
  <si>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</si>
  <si>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</si>
  <si>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</si>
  <si>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</si>
  <si>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</si>
  <si>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</si>
  <si>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</si>
  <si>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</si>
  <si>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</si>
  <si>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</si>
  <si>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</si>
  <si>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</si>
  <si>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</si>
  <si>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</si>
  <si>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</si>
  <si>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</si>
  <si>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</si>
  <si>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</si>
  <si>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</si>
  <si>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</si>
  <si>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</si>
  <si>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</si>
  <si>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</si>
  <si>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</si>
  <si>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</si>
  <si>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</si>
  <si>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</si>
  <si>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</si>
  <si>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</si>
  <si>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</si>
  <si>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</si>
  <si>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</si>
  <si>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</si>
  <si>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</si>
  <si>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</si>
  <si>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</si>
  <si>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</si>
  <si>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</si>
  <si>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</si>
  <si>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</si>
  <si>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</si>
  <si>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</si>
  <si>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</si>
  <si>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</si>
  <si>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</si>
  <si>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</si>
  <si>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</si>
  <si>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</si>
  <si>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</si>
  <si>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</si>
  <si>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</si>
  <si>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</si>
  <si>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</si>
  <si>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</si>
  <si>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</si>
  <si>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</si>
  <si>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</si>
  <si>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</si>
  <si>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</si>
  <si>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</si>
  <si>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</si>
  <si>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</si>
  <si>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</si>
  <si>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</si>
  <si>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</si>
  <si>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</si>
  <si>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</si>
  <si>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</si>
  <si>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</si>
  <si>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</si>
  <si>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</si>
  <si>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</si>
  <si>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</si>
  <si>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</si>
  <si>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</si>
  <si>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</si>
  <si>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</si>
  <si>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</si>
  <si>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</si>
  <si>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</si>
  <si>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</si>
  <si>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</si>
  <si>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</si>
  <si>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</si>
  <si>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</si>
  <si>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</si>
  <si>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</si>
  <si>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</si>
  <si>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</si>
  <si>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</si>
  <si>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</si>
  <si>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</si>
  <si>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</si>
  <si>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</si>
  <si>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</si>
  <si>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</si>
  <si>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</si>
  <si>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</si>
  <si>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</si>
  <si>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</si>
  <si>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</si>
  <si>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</si>
  <si>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</si>
  <si>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</si>
  <si>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</si>
  <si>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</si>
  <si>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</si>
  <si>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</si>
  <si>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</si>
  <si>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</si>
  <si>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</si>
  <si>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</si>
  <si>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</si>
  <si>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</si>
  <si>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</si>
  <si>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</si>
  <si>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</si>
  <si>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</si>
  <si>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</si>
  <si>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</si>
  <si>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</si>
  <si>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</si>
  <si>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</si>
  <si>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</si>
  <si>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</si>
  <si>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</si>
  <si>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</si>
  <si>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</si>
  <si>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</si>
  <si>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</si>
  <si>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</si>
  <si>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</si>
  <si>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</si>
  <si>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</si>
  <si>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</si>
  <si>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</si>
  <si>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</si>
  <si>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</si>
  <si>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</si>
  <si>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</si>
  <si>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</si>
  <si>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</si>
  <si>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</si>
  <si>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</si>
  <si>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</si>
  <si>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</si>
  <si>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</si>
  <si>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</si>
  <si>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</si>
  <si>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</si>
  <si>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</si>
  <si>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</si>
  <si>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</si>
  <si>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</si>
  <si>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</si>
  <si>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</si>
  <si>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</si>
  <si>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</si>
  <si>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</si>
  <si>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</si>
  <si>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</si>
  <si>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</si>
  <si>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</si>
  <si>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</si>
  <si>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</si>
  <si>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</si>
  <si>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</si>
  <si>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</si>
  <si>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</si>
  <si>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</si>
  <si>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</si>
  <si>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</si>
  <si>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</si>
  <si>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</si>
  <si>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</si>
  <si>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</si>
  <si>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</si>
  <si>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</si>
  <si>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</si>
  <si>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</si>
  <si>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</si>
  <si>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</si>
  <si>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</si>
  <si>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</si>
  <si>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</si>
  <si>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</si>
  <si>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</si>
  <si>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</si>
  <si>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</si>
  <si>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</si>
  <si>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</si>
  <si>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</si>
  <si>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</si>
  <si>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</si>
  <si>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</si>
  <si>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</si>
  <si>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</si>
  <si>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</si>
  <si>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</si>
  <si>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</si>
  <si>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</si>
  <si>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</si>
  <si>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</si>
  <si>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</si>
  <si>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</si>
  <si>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</si>
  <si>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</si>
  <si>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</si>
  <si>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</si>
  <si>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</si>
  <si>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</si>
  <si>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</si>
  <si>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</si>
  <si>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</si>
  <si>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</si>
  <si>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</si>
  <si>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</si>
  <si>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</si>
  <si>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</si>
  <si>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</si>
  <si>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</si>
  <si>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</si>
  <si>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</si>
  <si>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</si>
  <si>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</si>
  <si>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</si>
  <si>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</si>
  <si>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</si>
  <si>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</si>
  <si>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</si>
  <si>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</si>
  <si>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</si>
  <si>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</si>
  <si>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</si>
  <si>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</si>
  <si>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</si>
  <si>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</si>
  <si>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</si>
  <si>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</si>
  <si>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</si>
  <si>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</si>
  <si>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</si>
  <si>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</si>
  <si>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</si>
  <si>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</si>
  <si>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</si>
  <si>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</si>
  <si>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</si>
  <si>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</si>
  <si>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</si>
  <si>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</si>
  <si>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</si>
  <si>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</si>
  <si>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</si>
  <si>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</si>
  <si>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</si>
  <si>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</si>
  <si>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</si>
  <si>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</si>
  <si>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</si>
  <si>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</si>
  <si>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</si>
  <si>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</si>
  <si>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</si>
  <si>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</si>
  <si>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</si>
  <si>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</si>
  <si>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</si>
  <si>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</si>
  <si>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</si>
  <si>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</si>
  <si>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</si>
  <si>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</si>
  <si>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</si>
  <si>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</si>
  <si>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</si>
  <si>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</si>
  <si>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</si>
  <si>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</si>
  <si>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</si>
  <si>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</si>
  <si>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</si>
  <si>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</si>
  <si>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</si>
  <si>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</si>
  <si>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</si>
  <si>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</si>
  <si>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</si>
  <si>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</si>
  <si>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</si>
  <si>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</si>
  <si>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</si>
  <si>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</si>
  <si>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</si>
  <si>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</si>
  <si>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</si>
  <si>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</si>
  <si>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</si>
  <si>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</si>
  <si>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</si>
  <si>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</si>
  <si>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</si>
  <si>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</si>
  <si>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</si>
  <si>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</si>
  <si>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</si>
  <si>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</si>
  <si>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</si>
  <si>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</si>
  <si>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</si>
  <si>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</si>
  <si>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</si>
  <si>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</si>
  <si>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</si>
  <si>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</si>
  <si>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</si>
  <si>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</si>
  <si>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</si>
  <si>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</si>
  <si>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</si>
  <si>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</si>
  <si>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</si>
  <si>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</si>
  <si>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</si>
  <si>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</si>
  <si>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</si>
  <si>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</si>
  <si>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</si>
  <si>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</si>
  <si>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</si>
  <si>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</si>
  <si>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</si>
  <si>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</si>
  <si>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</si>
  <si>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</si>
  <si>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</si>
  <si>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</si>
  <si>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</si>
  <si>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</si>
  <si>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</si>
  <si>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</si>
  <si>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</si>
  <si>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</si>
  <si>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</si>
  <si>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</si>
  <si>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</si>
  <si>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</si>
  <si>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</si>
  <si>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</si>
  <si>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</si>
  <si>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</si>
  <si>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</si>
  <si>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</si>
  <si>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</si>
  <si>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</si>
  <si>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</si>
  <si>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</si>
  <si>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</si>
  <si>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</si>
  <si>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</si>
  <si>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</si>
  <si>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</si>
  <si>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</si>
  <si>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</si>
  <si>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</si>
  <si>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</si>
  <si>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</si>
  <si>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</si>
  <si>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</si>
  <si>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</si>
  <si>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</si>
  <si>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</si>
  <si>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</si>
  <si>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</si>
  <si>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</si>
  <si>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</si>
  <si>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</si>
  <si>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</si>
  <si>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</si>
  <si>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</si>
  <si>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</si>
  <si>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</si>
  <si>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</si>
  <si>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</si>
  <si>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</si>
  <si>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</si>
  <si>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</si>
  <si>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</si>
  <si>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</si>
  <si>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</si>
  <si>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</si>
  <si>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</si>
  <si>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</si>
  <si>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</si>
  <si>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</si>
  <si>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</si>
  <si>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</si>
  <si>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</si>
  <si>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</si>
  <si>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</si>
  <si>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</si>
  <si>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</si>
  <si>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</si>
  <si>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</si>
  <si>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</si>
  <si>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</si>
  <si>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</si>
  <si>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</si>
  <si>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</si>
  <si>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</si>
  <si>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</si>
  <si>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</si>
  <si>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</si>
  <si>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</si>
  <si>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</si>
  <si>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</si>
  <si>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</si>
  <si>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</si>
  <si>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</si>
  <si>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</si>
  <si>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</si>
  <si>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</si>
  <si>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</si>
  <si>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</si>
  <si>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</si>
  <si>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</si>
  <si>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</si>
  <si>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</si>
  <si>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</si>
  <si>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</si>
  <si>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</si>
  <si>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</si>
  <si>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</si>
  <si>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</si>
  <si>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</si>
  <si>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</si>
  <si>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</si>
  <si>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</si>
  <si>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</si>
  <si>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</si>
  <si>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</si>
  <si>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</si>
  <si>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</si>
  <si>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</si>
  <si>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</si>
  <si>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</si>
  <si>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</si>
  <si>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</si>
  <si>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</si>
  <si>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</si>
  <si>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</si>
  <si>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</si>
  <si>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</si>
  <si>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</si>
  <si>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</si>
  <si>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</si>
  <si>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</si>
  <si>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</si>
  <si>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</si>
  <si>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</si>
  <si>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</si>
  <si>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</si>
  <si>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</si>
  <si>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</si>
  <si>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</si>
  <si>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</si>
  <si>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</si>
  <si>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</si>
  <si>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</si>
  <si>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</si>
  <si>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</si>
  <si>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</si>
  <si>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</si>
  <si>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</si>
  <si>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</si>
  <si>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</si>
  <si>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</si>
  <si>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</si>
  <si>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</si>
  <si>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</si>
  <si>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</si>
  <si>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</si>
  <si>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</si>
  <si>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</si>
  <si>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</si>
  <si>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</si>
  <si>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</si>
  <si>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</si>
  <si>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</si>
  <si>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</si>
  <si>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</si>
  <si>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</si>
  <si>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</si>
  <si>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</si>
  <si>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</si>
  <si>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</si>
  <si>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</si>
  <si>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</si>
  <si>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</si>
  <si>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</si>
  <si>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</si>
  <si>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</si>
  <si>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</si>
  <si>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</si>
  <si>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</si>
  <si>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</si>
  <si>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</si>
  <si>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</si>
  <si>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</si>
  <si>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</si>
  <si>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</si>
  <si>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</si>
  <si>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</si>
  <si>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</si>
  <si>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</si>
  <si>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</si>
  <si>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</si>
  <si>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</si>
  <si>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</si>
  <si>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</si>
  <si>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</si>
  <si>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</si>
  <si>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</si>
  <si>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</si>
  <si>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</si>
  <si>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</si>
  <si>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</si>
  <si>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</si>
  <si>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</si>
  <si>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</si>
  <si>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</si>
  <si>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</si>
  <si>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</si>
  <si>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</si>
  <si>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</si>
  <si>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</si>
  <si>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</si>
  <si>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</si>
  <si>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</si>
  <si>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</si>
  <si>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</si>
  <si>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</si>
  <si>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</si>
  <si>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</si>
  <si>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</si>
  <si>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</si>
  <si>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</si>
  <si>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</si>
  <si>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</si>
  <si>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</si>
  <si>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</si>
  <si>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</si>
  <si>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</si>
  <si>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</si>
  <si>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</si>
  <si>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</si>
  <si>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</si>
  <si>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</si>
  <si>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</si>
  <si>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</si>
  <si>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</si>
  <si>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</si>
  <si>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</si>
  <si>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</si>
  <si>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</si>
  <si>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</si>
  <si>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</si>
  <si>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</si>
  <si>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</si>
  <si>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</si>
  <si>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</si>
  <si>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</si>
  <si>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</si>
  <si>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</si>
  <si>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</si>
  <si>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</si>
  <si>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</si>
  <si>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</si>
  <si>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</si>
  <si>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</si>
  <si>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</si>
  <si>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</si>
  <si>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</si>
  <si>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</si>
  <si>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</si>
  <si>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</si>
  <si>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</si>
  <si>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</si>
  <si>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</si>
  <si>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</si>
  <si>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</si>
  <si>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</si>
  <si>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</si>
  <si>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</si>
  <si>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</si>
  <si>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</si>
  <si>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</si>
  <si>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</si>
  <si>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</si>
  <si>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</si>
  <si>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</si>
  <si>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</si>
  <si>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</si>
  <si>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</si>
  <si>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</si>
  <si>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</si>
  <si>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</si>
  <si>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</si>
  <si>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</si>
  <si>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</si>
  <si>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</si>
  <si>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</si>
  <si>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</si>
  <si>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</si>
  <si>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</si>
  <si>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</si>
  <si>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</si>
  <si>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</si>
  <si>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</si>
  <si>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</si>
  <si>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</si>
  <si>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</si>
  <si>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</si>
  <si>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</si>
  <si>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</si>
  <si>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</si>
  <si>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</si>
  <si>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</si>
  <si>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</si>
  <si>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</si>
  <si>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</si>
  <si>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</si>
  <si>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</si>
  <si>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</si>
  <si>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</si>
  <si>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</si>
  <si>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</si>
  <si>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</si>
  <si>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</si>
  <si>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</si>
  <si>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</si>
  <si>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</si>
  <si>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</si>
  <si>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</si>
  <si>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</si>
  <si>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</si>
  <si>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</si>
  <si>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</si>
  <si>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</si>
  <si>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</si>
  <si>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</si>
  <si>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</si>
  <si>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</si>
  <si>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</si>
  <si>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</si>
  <si>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</si>
  <si>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</si>
  <si>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</si>
  <si>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</si>
  <si>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</si>
  <si>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</si>
  <si>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</si>
  <si>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</si>
  <si>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</si>
  <si>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</si>
  <si>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</si>
  <si>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</si>
  <si>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</si>
  <si>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</si>
  <si>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</si>
  <si>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</si>
  <si>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</si>
  <si>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</si>
  <si>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</si>
  <si>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</si>
  <si>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</si>
  <si>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</si>
  <si>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</si>
  <si>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</si>
  <si>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</si>
  <si>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</si>
  <si>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</si>
  <si>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</si>
  <si>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</si>
  <si>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</si>
  <si>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</si>
  <si>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</si>
  <si>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</si>
  <si>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</si>
  <si>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</si>
  <si>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</si>
  <si>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</si>
  <si>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</si>
  <si>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</si>
  <si>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</si>
  <si>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</si>
  <si>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</si>
  <si>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</si>
  <si>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</si>
  <si>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</si>
  <si>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</si>
  <si>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</si>
  <si>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</si>
  <si>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</si>
  <si>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</si>
  <si>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</si>
  <si>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</si>
  <si>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</si>
  <si>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</si>
  <si>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</si>
  <si>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</si>
  <si>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</si>
  <si>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</si>
  <si>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</si>
  <si>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</si>
  <si>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</si>
  <si>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</si>
  <si>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</si>
  <si>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</si>
  <si>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</si>
  <si>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</si>
  <si>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</si>
  <si>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</si>
  <si>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</si>
  <si>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</si>
  <si>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</si>
  <si>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</si>
  <si>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</si>
  <si>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</si>
  <si>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</si>
  <si>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</si>
  <si>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</si>
  <si>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</si>
  <si>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</si>
  <si>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</si>
  <si>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</si>
  <si>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</si>
  <si>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</si>
  <si>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</si>
  <si>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</si>
  <si>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</si>
  <si>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</si>
  <si>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</si>
  <si>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</si>
  <si>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</si>
  <si>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</si>
  <si>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</si>
  <si>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</si>
  <si>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</si>
  <si>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</si>
  <si>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</si>
  <si>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</si>
  <si>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</si>
  <si>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</si>
  <si>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</si>
  <si>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</si>
  <si>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</si>
  <si>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</si>
  <si>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</si>
  <si>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</si>
  <si>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</si>
  <si>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</si>
  <si>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</si>
  <si>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</si>
  <si>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</si>
  <si>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</si>
  <si>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</si>
  <si>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</si>
  <si>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</si>
  <si>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</si>
  <si>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</si>
  <si>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</si>
  <si>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</si>
  <si>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</si>
  <si>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</si>
  <si>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</si>
  <si>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</si>
  <si>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</si>
  <si>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</si>
  <si>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</si>
  <si>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</si>
  <si>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</si>
  <si>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</si>
  <si>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</si>
  <si>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</si>
  <si>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</si>
  <si>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</si>
  <si>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</si>
  <si>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</si>
  <si>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</si>
  <si>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</si>
  <si>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</si>
  <si>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</si>
  <si>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</si>
  <si>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</si>
  <si>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</si>
  <si>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</si>
  <si>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</si>
  <si>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</si>
  <si>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</si>
  <si>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</si>
  <si>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</si>
  <si>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</si>
  <si>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</si>
  <si>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</si>
  <si>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</si>
  <si>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</si>
  <si>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</si>
  <si>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</si>
  <si>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</si>
  <si>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</si>
  <si>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</si>
  <si>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</si>
  <si>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</si>
  <si>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</si>
  <si>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</si>
  <si>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</si>
  <si>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</si>
  <si>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</si>
  <si>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</si>
  <si>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</si>
  <si>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</si>
  <si>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</si>
  <si>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</si>
  <si>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</si>
  <si>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</si>
  <si>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</si>
  <si>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</si>
  <si>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</si>
  <si>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</si>
  <si>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</si>
  <si>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</si>
  <si>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</si>
  <si>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</si>
  <si>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</si>
  <si>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</si>
  <si>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</si>
  <si>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</si>
  <si>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</si>
  <si>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</si>
  <si>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</si>
  <si>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</si>
  <si>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</si>
  <si>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</si>
  <si>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</si>
  <si>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</si>
  <si>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</si>
  <si>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</si>
  <si>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</si>
  <si>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</si>
  <si>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</si>
  <si>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</si>
  <si>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</si>
  <si>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</si>
  <si>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</si>
  <si>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</si>
  <si>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</si>
  <si>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</si>
  <si>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</si>
  <si>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</si>
  <si>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</si>
  <si>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</si>
  <si>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</si>
  <si>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</si>
  <si>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</si>
  <si>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</si>
  <si>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</si>
  <si>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</si>
  <si>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</si>
  <si>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</si>
  <si>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</si>
  <si>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</si>
  <si>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</si>
  <si>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</si>
  <si>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</si>
  <si>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</si>
  <si>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</si>
  <si>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</si>
  <si>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</si>
  <si>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</si>
  <si>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</si>
  <si>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</si>
  <si>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</si>
  <si>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</si>
  <si>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</si>
  <si>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</si>
  <si>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</si>
  <si>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</si>
  <si>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</si>
  <si>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</si>
  <si>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</si>
  <si>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</si>
  <si>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</si>
  <si>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</si>
  <si>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</si>
  <si>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</si>
  <si>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</si>
  <si>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</si>
  <si>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</si>
  <si>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</si>
  <si>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</si>
  <si>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</si>
  <si>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</si>
  <si>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</si>
  <si>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</si>
  <si>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</si>
  <si>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</si>
  <si>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</si>
  <si>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</si>
  <si>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</si>
  <si>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</si>
  <si>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</si>
  <si>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</si>
  <si>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</si>
  <si>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</si>
  <si>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</si>
  <si>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</si>
  <si>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</si>
  <si>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</si>
  <si>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</si>
  <si>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</si>
  <si>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</si>
  <si>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</si>
  <si>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</si>
  <si>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</si>
  <si>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</si>
  <si>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</si>
  <si>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</si>
  <si>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</si>
  <si>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</si>
  <si>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</si>
  <si>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</si>
  <si>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</si>
  <si>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</si>
  <si>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</si>
  <si>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</si>
  <si>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</si>
  <si>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</si>
  <si>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</si>
  <si>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</si>
  <si>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</si>
  <si>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</si>
  <si>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</si>
  <si>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</si>
  <si>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</si>
  <si>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</si>
  <si>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</si>
  <si>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</si>
  <si>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</si>
  <si>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</si>
  <si>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</si>
  <si>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</si>
  <si>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</si>
  <si>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</si>
  <si>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</si>
  <si>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</si>
  <si>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</si>
  <si>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</si>
  <si>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</si>
  <si>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</si>
  <si>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</si>
  <si>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</si>
  <si>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</si>
  <si>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</si>
  <si>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</si>
  <si>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</si>
  <si>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</si>
  <si>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</si>
  <si>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</si>
  <si>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</si>
  <si>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</si>
  <si>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</si>
  <si>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</si>
  <si>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</si>
  <si>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</si>
  <si>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</si>
  <si>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</si>
  <si>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</si>
  <si>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</si>
  <si>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</si>
  <si>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</si>
  <si>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</si>
  <si>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</si>
  <si>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</si>
  <si>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</si>
  <si>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</si>
  <si>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</si>
  <si>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</si>
  <si>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</si>
  <si>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</si>
  <si>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</si>
  <si>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</si>
  <si>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</si>
  <si>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</si>
  <si>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</si>
  <si>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</si>
  <si>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</si>
  <si>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</si>
  <si>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</si>
  <si>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</si>
  <si>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</si>
  <si>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</si>
  <si>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</si>
  <si>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</si>
  <si>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</si>
  <si>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</si>
  <si>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</si>
  <si>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</si>
  <si>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</si>
  <si>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</si>
  <si>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</si>
  <si>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</si>
  <si>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</si>
  <si>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</si>
  <si>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</si>
  <si>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</si>
  <si>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</si>
  <si>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</si>
  <si>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</si>
  <si>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</si>
  <si>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</si>
  <si>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</si>
  <si>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</si>
  <si>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</si>
  <si>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</si>
  <si>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</si>
  <si>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</si>
  <si>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</si>
  <si>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</si>
  <si>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</si>
  <si>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</si>
  <si>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</si>
  <si>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</si>
  <si>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</si>
  <si>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</si>
  <si>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</si>
  <si>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</si>
  <si>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</si>
  <si>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</si>
  <si>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</si>
  <si>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</si>
  <si>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</si>
  <si>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</si>
  <si>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</si>
  <si>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</si>
  <si>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</si>
  <si>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</si>
  <si>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</si>
  <si>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</si>
  <si>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</si>
  <si>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</si>
  <si>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</si>
  <si>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</si>
  <si>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</si>
  <si>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</si>
  <si>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</si>
  <si>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</si>
  <si>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</si>
  <si>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</si>
  <si>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</si>
  <si>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</si>
  <si>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</si>
  <si>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</si>
  <si>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</si>
  <si>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</si>
  <si>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</si>
  <si>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</si>
  <si>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</si>
  <si>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</si>
  <si>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</si>
  <si>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</si>
  <si>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</si>
  <si>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</si>
  <si>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</si>
  <si>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</si>
  <si>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</si>
  <si>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</si>
  <si>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</si>
  <si>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</si>
  <si>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</si>
  <si>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</si>
  <si>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</si>
  <si>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</si>
  <si>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</si>
  <si>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</si>
  <si>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</si>
  <si>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</si>
  <si>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</si>
  <si>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</si>
  <si>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</si>
  <si>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</si>
  <si>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</si>
  <si>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</si>
  <si>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</si>
  <si>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</si>
  <si>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</si>
  <si>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</si>
  <si>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</si>
  <si>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</si>
  <si>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</si>
  <si>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</si>
  <si>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</si>
  <si>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</si>
  <si>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</si>
  <si>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</si>
  <si>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</si>
  <si>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</si>
  <si>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</si>
  <si>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</si>
  <si>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</si>
  <si>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</si>
  <si>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</si>
  <si>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</si>
  <si>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</si>
  <si>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</si>
  <si>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</si>
  <si>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</si>
  <si>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</si>
  <si>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</si>
  <si>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</si>
  <si>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</si>
  <si>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</si>
  <si>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</si>
  <si>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</si>
  <si>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</si>
  <si>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</si>
  <si>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</si>
  <si>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</si>
  <si>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</si>
  <si>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</si>
  <si>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</si>
  <si>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</si>
  <si>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</si>
  <si>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</si>
  <si>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</si>
  <si>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</si>
  <si>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</si>
  <si>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</si>
  <si>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</si>
  <si>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</si>
  <si>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</si>
  <si>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</si>
  <si>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</si>
  <si>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</si>
  <si>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</si>
  <si>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</si>
  <si>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</si>
  <si>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</si>
  <si>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</si>
  <si>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</si>
  <si>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</si>
  <si>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</si>
  <si>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</si>
  <si>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</si>
  <si>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</si>
  <si>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</si>
  <si>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</si>
  <si>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</si>
  <si>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</si>
  <si>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</si>
  <si>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</si>
  <si>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</si>
  <si>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</si>
  <si>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</si>
  <si>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</si>
  <si>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</si>
  <si>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</si>
  <si>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</si>
  <si>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</si>
  <si>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</si>
  <si>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</si>
  <si>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</si>
  <si>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</si>
  <si>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</si>
  <si>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</si>
  <si>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</si>
  <si>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</si>
  <si>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</si>
  <si>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</si>
  <si>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</si>
  <si>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</si>
  <si>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</si>
  <si>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</si>
  <si>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</si>
  <si>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</si>
  <si>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</si>
  <si>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</si>
  <si>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</si>
  <si>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</si>
  <si>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</si>
  <si>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</si>
  <si>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</si>
  <si>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</si>
  <si>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</si>
  <si>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</si>
  <si>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</si>
  <si>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</si>
  <si>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</si>
  <si>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</si>
  <si>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</si>
  <si>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</si>
  <si>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</si>
  <si>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</si>
  <si>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</si>
  <si>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</si>
  <si>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</si>
  <si>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</si>
  <si>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Comset S.A</t>
  </si>
  <si>
    <t>Model:</t>
  </si>
  <si>
    <t>model serwera</t>
  </si>
  <si>
    <t>NUMER SERYJNY GŁÓWNY</t>
  </si>
  <si>
    <t>PN</t>
  </si>
  <si>
    <t>SN</t>
  </si>
  <si>
    <t>RS1102V6_071200/2022</t>
  </si>
  <si>
    <t>30.08.2022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</si>
</sst>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31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7"/>
      <color theme="1"/>
      <name val="IDAutomationC39X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13" fillId="0" borderId="0" xfId="0" applyFont="1" applyAlignment="1">
      <alignment horizontal="left" vertical="center"/>
    </xf>
    <xf numFmtId="0" fontId="27" fillId="0" borderId="0" xfId="0" applyFont="1"/>
    <xf numFmtId="0" fontId="0" fillId="0" borderId="0" xfId="0" quotePrefix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28" fillId="0" borderId="9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top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20</xdr:row>
          <xdr:rowOff>38100</xdr:rowOff>
        </xdr:from>
        <xdr:to>
          <xdr:col>5</xdr:col>
          <xdr:colOff>19050</xdr:colOff>
          <xdr:row>23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Etykieta/Gwarancja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główny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4</xdr:row>
          <xdr:rowOff>38100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26</xdr:row>
          <xdr:rowOff>114300</xdr:rowOff>
        </xdr:from>
        <xdr:to>
          <xdr:col>4</xdr:col>
          <xdr:colOff>1847850</xdr:colOff>
          <xdr:row>30</xdr:row>
          <xdr:rowOff>9525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Gwarancje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MBD-X11DPI-M-B</v>
          </cell>
          <cell r="E2198" t="str">
            <v>HM219S011328</v>
          </cell>
        </row>
        <row r="2199">
          <cell r="D2199" t="str">
            <v>MBD-X11DPI-M-B</v>
          </cell>
          <cell r="E2199" t="str">
            <v>HM219S010615</v>
          </cell>
        </row>
        <row r="2200">
          <cell r="D2200" t="str">
            <v>MBD-X11DPI-M-B</v>
          </cell>
          <cell r="E2200" t="str">
            <v>HM219S011351</v>
          </cell>
        </row>
        <row r="2201">
          <cell r="D2201" t="str">
            <v>MBD-X11DPI-M-B</v>
          </cell>
          <cell r="E2201" t="str">
            <v>HM219S011809</v>
          </cell>
        </row>
        <row r="2202">
          <cell r="D2202" t="str">
            <v>MBD-X11DPI-M-B</v>
          </cell>
          <cell r="E2202" t="str">
            <v>HM219S011327</v>
          </cell>
        </row>
        <row r="2203">
          <cell r="D2203" t="str">
            <v>MBD-X11DPI-M-B</v>
          </cell>
          <cell r="E2203" t="str">
            <v>HM219S010674</v>
          </cell>
        </row>
        <row r="2204">
          <cell r="D2204" t="str">
            <v>MBD-X11DPI-M-B</v>
          </cell>
          <cell r="E2204" t="str">
            <v>HM219S010745</v>
          </cell>
        </row>
        <row r="2205">
          <cell r="D2205" t="str">
            <v>MBD-X11DPI-M-B</v>
          </cell>
          <cell r="E2205" t="str">
            <v>HM219S011487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RSC-W-68G4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RSC-R1UW-E8R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D5505" t="str">
            <v>CSE-743AC-1K26B-SQ</v>
          </cell>
          <cell r="E5505" t="str">
            <v>C7430FK37P00473</v>
          </cell>
          <cell r="K5505" t="str">
            <v>TESTOWY M.BOGUSZ</v>
          </cell>
        </row>
        <row r="5506">
          <cell r="D5506" t="str">
            <v>PWS-1K26P-PQ</v>
          </cell>
          <cell r="E5506" t="str">
            <v>P1K26AL14AD1959</v>
          </cell>
          <cell r="K5506" t="str">
            <v>TESTOWY M.BOGUSZ</v>
          </cell>
        </row>
        <row r="5507">
          <cell r="D5507" t="str">
            <v>BPN-SAS3-743A</v>
          </cell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HDD</v>
          </cell>
          <cell r="E10325" t="str">
            <v>ZR58EWF7</v>
          </cell>
        </row>
        <row r="10326">
          <cell r="D10326" t="str">
            <v>HDD</v>
          </cell>
          <cell r="E10326" t="str">
            <v>ZR58D2DS</v>
          </cell>
        </row>
        <row r="10327">
          <cell r="D10327" t="str">
            <v>HDD</v>
          </cell>
          <cell r="E10327" t="str">
            <v>ZR58BGXZ</v>
          </cell>
        </row>
        <row r="10328">
          <cell r="D10328" t="str">
            <v>HDD</v>
          </cell>
          <cell r="E10328" t="str">
            <v>ZR58EP2F</v>
          </cell>
        </row>
        <row r="10329">
          <cell r="D10329" t="str">
            <v>HDD</v>
          </cell>
          <cell r="E10329" t="str">
            <v>ZR58EJCV</v>
          </cell>
        </row>
        <row r="10330">
          <cell r="D10330" t="str">
            <v>HDD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HDD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HDD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HDD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HDD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HDD</v>
          </cell>
          <cell r="E10351" t="str">
            <v>ZR589ZHY</v>
          </cell>
        </row>
        <row r="10352">
          <cell r="D10352" t="str">
            <v>HDD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HDD</v>
          </cell>
          <cell r="E10354" t="str">
            <v>ZR58EJFX</v>
          </cell>
        </row>
        <row r="10355">
          <cell r="D10355" t="str">
            <v>HDD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HDD</v>
          </cell>
          <cell r="E10357" t="str">
            <v>ZR58BZLP</v>
          </cell>
        </row>
        <row r="10358">
          <cell r="D10358" t="str">
            <v>HDD</v>
          </cell>
          <cell r="E10358" t="str">
            <v>ZR58EK7H</v>
          </cell>
        </row>
        <row r="10359">
          <cell r="D10359" t="str">
            <v>HDD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</row>
        <row r="15673">
          <cell r="D15673" t="str">
            <v>CD8068904572501 Xeon Gold 6338</v>
          </cell>
          <cell r="E15673" t="str">
            <v>L140E663  1260BC002B4443E9RKJ9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</row>
        <row r="17663">
          <cell r="D17663" t="str">
            <v>MZ7L3480HCHQ-00A07</v>
          </cell>
          <cell r="E17663" t="str">
            <v>s664ne0rc27059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</row>
        <row r="17830">
          <cell r="D17830" t="str">
            <v>MEM-DR490L-HL01-EU26</v>
          </cell>
          <cell r="E17830" t="str">
            <v>80AD01215075427A91</v>
          </cell>
        </row>
        <row r="17831">
          <cell r="D17831" t="str">
            <v>MEM-DR490L-HL01-EU26</v>
          </cell>
          <cell r="E17831" t="str">
            <v>80AD01215075427A97</v>
          </cell>
        </row>
        <row r="17832">
          <cell r="D17832" t="str">
            <v>MEM-DR490L-HL01-EU26</v>
          </cell>
          <cell r="E17832" t="str">
            <v>80AD01215075427A92</v>
          </cell>
        </row>
        <row r="17833">
          <cell r="D17833" t="str">
            <v>MEM-DR490L-HL01-EU26</v>
          </cell>
          <cell r="E17833" t="str">
            <v>80AD01215075427A98</v>
          </cell>
        </row>
        <row r="17834">
          <cell r="D17834" t="str">
            <v>MEM-DR490L-HL01-EU26</v>
          </cell>
          <cell r="E17834" t="str">
            <v>80AD01215075427A93</v>
          </cell>
        </row>
        <row r="17835">
          <cell r="D17835" t="str">
            <v>MEM-DR490L-HL01-EU26</v>
          </cell>
          <cell r="E17835" t="str">
            <v>80AD01215075427A9A</v>
          </cell>
        </row>
        <row r="17836">
          <cell r="D17836" t="str">
            <v>MEM-DR490L-HL01-EU26</v>
          </cell>
          <cell r="E17836" t="str">
            <v>80AD01215075427A9C</v>
          </cell>
        </row>
        <row r="17837">
          <cell r="D17837" t="str">
            <v>MEM-DR490L-HL01-EU26</v>
          </cell>
          <cell r="E17837" t="str">
            <v>80AD01215075427A9B</v>
          </cell>
        </row>
        <row r="17838">
          <cell r="D17838" t="str">
            <v>MEM-DR490L-HL01-EU26</v>
          </cell>
          <cell r="E17838" t="str">
            <v>80AD01215075427A9D</v>
          </cell>
        </row>
        <row r="17839">
          <cell r="D17839" t="str">
            <v>MEM-DR490L-HL01-EU26</v>
          </cell>
          <cell r="E17839" t="str">
            <v>80AD01215075427B09</v>
          </cell>
        </row>
        <row r="17840">
          <cell r="D17840" t="str">
            <v>MEM-DR490L-HL01-EU26</v>
          </cell>
          <cell r="E17840" t="str">
            <v>80AD01215075427AA9</v>
          </cell>
        </row>
        <row r="17841">
          <cell r="D17841" t="str">
            <v>MEM-DR490L-HL01-EU26</v>
          </cell>
          <cell r="E17841" t="str">
            <v>80AD01215075427AB2</v>
          </cell>
          <cell r="K17841" t="str">
            <v>Senetic PURCHASE ORDER No. 113171743</v>
          </cell>
        </row>
        <row r="17842">
          <cell r="D17842" t="str">
            <v>MEM-DR490L-HL01-EU26</v>
          </cell>
          <cell r="E17842" t="str">
            <v>80AD01215075427AAA</v>
          </cell>
          <cell r="K17842" t="str">
            <v>Senetic PURCHASE ORDER No. 113171743</v>
          </cell>
        </row>
        <row r="17843">
          <cell r="D17843" t="str">
            <v>MEM-DR490L-HL01-EU26</v>
          </cell>
          <cell r="E17843" t="str">
            <v>80AD01215075427AAB</v>
          </cell>
          <cell r="K17843" t="str">
            <v>Senetic PURCHASE ORDER No. 113171743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</row>
        <row r="19000">
          <cell r="D19000" t="str">
            <v>SSDSC2KB960GZ01</v>
          </cell>
          <cell r="E19000" t="str">
            <v>PHYI146100VG960CGN</v>
          </cell>
        </row>
        <row r="19001">
          <cell r="D19001" t="str">
            <v>SSDSC2KB960GZ01</v>
          </cell>
          <cell r="E19001" t="str">
            <v>BTYI201203WY960CGN</v>
          </cell>
        </row>
        <row r="19002">
          <cell r="D19002" t="str">
            <v>SSDSC2KB960GZ01</v>
          </cell>
          <cell r="E19002" t="str">
            <v>BTYI2044013Z960CGN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  <row r="19118">
          <cell r="D19118" t="str">
            <v>MegaRaid 9361-8i   05-25420-08</v>
          </cell>
          <cell r="E19118" t="str">
            <v>SKC1274331</v>
          </cell>
        </row>
        <row r="19119">
          <cell r="D19119" t="str">
            <v>MegaRaid 9361-8i   05-25420-08</v>
          </cell>
          <cell r="E19119" t="str">
            <v>SKC1195242</v>
          </cell>
        </row>
        <row r="19120">
          <cell r="D19120" t="str">
            <v>MegaRaid 9361-8i   05-25420-08</v>
          </cell>
          <cell r="E19120" t="str">
            <v>SKC1269447</v>
          </cell>
        </row>
        <row r="19121">
          <cell r="D19121" t="str">
            <v>MegaRaid 9361-8i   05-25420-08</v>
          </cell>
          <cell r="E19121" t="str">
            <v>SKC1269455</v>
          </cell>
        </row>
        <row r="19122">
          <cell r="D19122" t="str">
            <v>MegaRaid 9361-8i   05-25420-08</v>
          </cell>
          <cell r="E19122" t="str">
            <v>SKC1274501</v>
          </cell>
        </row>
        <row r="19123">
          <cell r="D19123" t="str">
            <v>MegaRaid 9361-8i   05-25420-08</v>
          </cell>
          <cell r="E19123" t="str">
            <v>SKC1269495</v>
          </cell>
        </row>
        <row r="19124">
          <cell r="D19124" t="str">
            <v>MegaRaid 9361-8i   05-25420-08</v>
          </cell>
          <cell r="E19124" t="str">
            <v>SKC1274347</v>
          </cell>
        </row>
        <row r="19125">
          <cell r="D19125" t="str">
            <v>MegaRaid 9361-8i   05-25420-08</v>
          </cell>
          <cell r="E19125" t="str">
            <v>SKC1274346</v>
          </cell>
        </row>
        <row r="19126">
          <cell r="D19126" t="str">
            <v>MegaRaid 9361-8i   05-25420-08</v>
          </cell>
          <cell r="E19126" t="str">
            <v>SKC1274613</v>
          </cell>
        </row>
        <row r="19127">
          <cell r="D19127" t="str">
            <v>MegaRaid 9361-8i   05-25420-08</v>
          </cell>
          <cell r="E19127" t="str">
            <v>SKC1273006</v>
          </cell>
        </row>
        <row r="19128">
          <cell r="D19128" t="str">
            <v>MegaRaid 9361-8i   05-25420-08</v>
          </cell>
          <cell r="E19128" t="str">
            <v>SKC1274511</v>
          </cell>
        </row>
        <row r="19129">
          <cell r="D19129" t="str">
            <v>MegaRaid 9361-8i   05-25420-08</v>
          </cell>
          <cell r="E19129" t="str">
            <v>SKC1274619</v>
          </cell>
        </row>
        <row r="19130">
          <cell r="D19130" t="str">
            <v>MegaRaid 9361-8i   05-25420-08</v>
          </cell>
          <cell r="E19130" t="str">
            <v>SKC1274947</v>
          </cell>
        </row>
        <row r="19131">
          <cell r="D19131" t="str">
            <v>MegaRaid 9361-8i   05-25420-08</v>
          </cell>
          <cell r="E19131" t="str">
            <v>SKC1269387</v>
          </cell>
        </row>
        <row r="19132">
          <cell r="D19132" t="str">
            <v>MegaRaid 9361-8i   05-25420-08</v>
          </cell>
          <cell r="E19132" t="str">
            <v>SKC1178497</v>
          </cell>
        </row>
        <row r="19133">
          <cell r="D19133" t="str">
            <v>MegaRaid 9361-8i   05-25420-08</v>
          </cell>
          <cell r="E19133" t="str">
            <v>SKC1269578</v>
          </cell>
        </row>
        <row r="19134">
          <cell r="D19134" t="str">
            <v>MegaRaid 9361-8i   05-25420-08</v>
          </cell>
          <cell r="E19134" t="str">
            <v>SKC1274051</v>
          </cell>
        </row>
        <row r="19135">
          <cell r="D19135" t="str">
            <v>MegaRaid 9361-8i   05-25420-08</v>
          </cell>
          <cell r="E19135" t="str">
            <v>SKC1272964</v>
          </cell>
        </row>
        <row r="19136">
          <cell r="D19136" t="str">
            <v>MegaRaid 9361-8i   05-25420-08</v>
          </cell>
          <cell r="E19136" t="str">
            <v>SKC1274942</v>
          </cell>
        </row>
        <row r="19137">
          <cell r="D19137" t="str">
            <v>MegaRaid 9361-8i   05-25420-08</v>
          </cell>
          <cell r="E19137" t="str">
            <v>SKC1272169</v>
          </cell>
        </row>
        <row r="19138">
          <cell r="D19138" t="str">
            <v>MegaRaid 9361-8i   05-25420-08</v>
          </cell>
          <cell r="E19138" t="str">
            <v>SKCU272937</v>
          </cell>
        </row>
        <row r="19139">
          <cell r="D19139" t="str">
            <v>MegaRaid 9361-8i   05-25420-08</v>
          </cell>
          <cell r="E19139" t="str">
            <v>SKC1269545</v>
          </cell>
        </row>
        <row r="19140">
          <cell r="D19140" t="str">
            <v>MegaRaid 9361-8i   05-25420-08</v>
          </cell>
          <cell r="E19140" t="str">
            <v>SKC1272839</v>
          </cell>
        </row>
        <row r="19141">
          <cell r="D19141" t="str">
            <v>MegaRaid 9361-8i   05-25420-08</v>
          </cell>
          <cell r="E19141" t="str">
            <v>SKC1272990</v>
          </cell>
        </row>
        <row r="19142">
          <cell r="D19142" t="str">
            <v>MegaRaid 9361-8i   05-25420-08</v>
          </cell>
          <cell r="E19142" t="str">
            <v>SKC1269790</v>
          </cell>
        </row>
        <row r="19143">
          <cell r="D19143" t="str">
            <v>MegaRaid 9361-8i   05-25420-08</v>
          </cell>
          <cell r="E19143" t="str">
            <v>SKC1275061</v>
          </cell>
        </row>
        <row r="19144">
          <cell r="D19144" t="str">
            <v>MegaRaid 9361-8i   05-25420-08</v>
          </cell>
          <cell r="E19144" t="str">
            <v>SKC1275028</v>
          </cell>
        </row>
        <row r="19145">
          <cell r="D19145" t="str">
            <v>MegaRaid 9361-8i   05-25420-08</v>
          </cell>
          <cell r="E19145" t="str">
            <v>SKC1269587</v>
          </cell>
        </row>
        <row r="19146">
          <cell r="D19146" t="str">
            <v>MegaRaid 9361-8i   05-25420-08</v>
          </cell>
          <cell r="E19146" t="str">
            <v>SKC1274984</v>
          </cell>
        </row>
        <row r="19147">
          <cell r="D19147" t="str">
            <v>SSDSC2KB019T801</v>
          </cell>
          <cell r="E19147" t="str">
            <v>PHYF1504035V1P9DGN</v>
          </cell>
        </row>
        <row r="19148">
          <cell r="D19148" t="str">
            <v>SSDSC2KB019T801</v>
          </cell>
          <cell r="E19148" t="str">
            <v>PHYF150402G21P9DGN</v>
          </cell>
        </row>
        <row r="19149">
          <cell r="D19149" t="str">
            <v>SSDSC2KB019T801</v>
          </cell>
          <cell r="E19149" t="str">
            <v>PHYF150403P31P9DGN</v>
          </cell>
        </row>
        <row r="19150">
          <cell r="D19150" t="str">
            <v>SSDSC2KB019T801</v>
          </cell>
          <cell r="E19150" t="str">
            <v>PHYF150403DG1P9DGN</v>
          </cell>
        </row>
        <row r="19151">
          <cell r="D19151" t="str">
            <v>SSDSC2KB019T801</v>
          </cell>
          <cell r="E19151" t="str">
            <v>PHYF150403DC1P9DGN</v>
          </cell>
        </row>
        <row r="19152">
          <cell r="D19152" t="str">
            <v>SSDSC2KB019T801</v>
          </cell>
          <cell r="E19152" t="str">
            <v>PHYF1504037B1P9DGN</v>
          </cell>
        </row>
        <row r="19153">
          <cell r="D19153" t="str">
            <v>SSDSC2KB019T801</v>
          </cell>
          <cell r="E19153" t="str">
            <v>PHYF150403PC1P9DGN</v>
          </cell>
        </row>
        <row r="19154">
          <cell r="D19154" t="str">
            <v>SSDSC2KB019T801</v>
          </cell>
          <cell r="E19154" t="str">
            <v>PHYF150403GL1P9DGN</v>
          </cell>
        </row>
        <row r="19155">
          <cell r="D19155" t="str">
            <v>0B36039</v>
          </cell>
          <cell r="E19155" t="str">
            <v>V7GAALMH</v>
          </cell>
        </row>
        <row r="19156">
          <cell r="D19156" t="str">
            <v>0B36039</v>
          </cell>
          <cell r="E19156" t="str">
            <v>V7GAAM3H</v>
          </cell>
        </row>
        <row r="19157">
          <cell r="D19157" t="str">
            <v>MZ7L3960HCJR-00A07</v>
          </cell>
          <cell r="E19157" t="str">
            <v>S662NE0T614720</v>
          </cell>
        </row>
        <row r="19158">
          <cell r="D19158" t="str">
            <v>MZ7L3960HCJR-00A07</v>
          </cell>
          <cell r="E19158" t="str">
            <v>S662NE0T614713</v>
          </cell>
        </row>
        <row r="19159">
          <cell r="D19159" t="str">
            <v>MZ7L3960HCJR-00A07</v>
          </cell>
          <cell r="E19159" t="str">
            <v>S662NE0T614366</v>
          </cell>
        </row>
        <row r="19160">
          <cell r="D19160" t="str">
            <v>MZ7L3960HCJR-00A07</v>
          </cell>
          <cell r="E19160" t="str">
            <v>S662NE0T614363</v>
          </cell>
        </row>
        <row r="19161">
          <cell r="D19161" t="str">
            <v>MZ7L3960HCJR-00A07</v>
          </cell>
          <cell r="E19161" t="str">
            <v>S662NE0T614364</v>
          </cell>
        </row>
        <row r="19162">
          <cell r="D19162" t="str">
            <v>MZ7L3960HCJR-00A07</v>
          </cell>
          <cell r="E19162" t="str">
            <v>S662NE0T614365</v>
          </cell>
        </row>
        <row r="19163">
          <cell r="D19163" t="str">
            <v>MZ7L3960HCJR-00A07</v>
          </cell>
          <cell r="E19163" t="str">
            <v>S662NE0T614368</v>
          </cell>
        </row>
        <row r="19164">
          <cell r="D19164" t="str">
            <v>MZ7L3960HCJR-00A07</v>
          </cell>
          <cell r="E19164" t="str">
            <v>S662NE0T614369</v>
          </cell>
        </row>
        <row r="19165">
          <cell r="D19165" t="str">
            <v>MZ7L3960HCJR-00A07</v>
          </cell>
          <cell r="E19165" t="str">
            <v>S662NE0T614709</v>
          </cell>
        </row>
        <row r="19166">
          <cell r="D19166" t="str">
            <v>MZ7L3960HCJR-00A07</v>
          </cell>
          <cell r="E19166" t="str">
            <v>S662NE0T614711</v>
          </cell>
        </row>
        <row r="19167">
          <cell r="D19167" t="str">
            <v>MZ7L3960HCJR-00A07</v>
          </cell>
          <cell r="E19167" t="str">
            <v>S662NE0T614712</v>
          </cell>
        </row>
        <row r="19168">
          <cell r="D19168" t="str">
            <v>MZ7L3960HCJR-00A07</v>
          </cell>
          <cell r="E19168" t="str">
            <v>S662NE0T614715</v>
          </cell>
        </row>
        <row r="19169">
          <cell r="D19169" t="str">
            <v>MZ7L3960HCJR-00A07</v>
          </cell>
          <cell r="E19169" t="str">
            <v>S662NE0T614710</v>
          </cell>
        </row>
        <row r="19170">
          <cell r="D19170" t="str">
            <v>MZ7L3960HCJR-00A07</v>
          </cell>
          <cell r="E19170" t="str">
            <v>S662NE0T614716</v>
          </cell>
        </row>
        <row r="19171">
          <cell r="D19171" t="str">
            <v>MZ7L3960HCJR-00A07</v>
          </cell>
          <cell r="E19171" t="str">
            <v>S662NE0T614706</v>
          </cell>
        </row>
        <row r="19172">
          <cell r="D19172" t="str">
            <v>MZ7L3960HCJR-00A07</v>
          </cell>
          <cell r="E19172" t="str">
            <v>S662NE0T614703</v>
          </cell>
        </row>
        <row r="19173">
          <cell r="D19173" t="str">
            <v>MZ7L3960HCJR-00A07</v>
          </cell>
          <cell r="E19173" t="str">
            <v>S662NE0T614704</v>
          </cell>
        </row>
        <row r="19174">
          <cell r="D19174" t="str">
            <v>MZ7L3960HCJR-00A07</v>
          </cell>
          <cell r="E19174" t="str">
            <v>S662NE0T614705</v>
          </cell>
        </row>
        <row r="19175">
          <cell r="D19175" t="str">
            <v>MZ7L3960HCJR-00A07</v>
          </cell>
          <cell r="E19175" t="str">
            <v>S662NE0T614707</v>
          </cell>
        </row>
        <row r="19176">
          <cell r="D19176" t="str">
            <v>MZ7L3960HCJR-00A07</v>
          </cell>
          <cell r="E19176" t="str">
            <v>S662NE0T614708</v>
          </cell>
        </row>
        <row r="19177">
          <cell r="D19177" t="str">
            <v>MZ7L3960HCJR-00A07</v>
          </cell>
          <cell r="E19177" t="str">
            <v>S662NE0T614301</v>
          </cell>
        </row>
        <row r="19178">
          <cell r="D19178" t="str">
            <v>MZ7L3960HCJR-00A07</v>
          </cell>
          <cell r="E19178" t="str">
            <v>S662NE0T614307</v>
          </cell>
        </row>
        <row r="19179">
          <cell r="D19179" t="str">
            <v>MZ7L3960HCJR-00A07</v>
          </cell>
          <cell r="E19179" t="str">
            <v>S662NE0T614304</v>
          </cell>
        </row>
        <row r="19180">
          <cell r="D19180" t="str">
            <v>MZ7L3960HCJR-00A07</v>
          </cell>
          <cell r="E19180" t="str">
            <v>S662NE0T614300</v>
          </cell>
        </row>
        <row r="19181">
          <cell r="D19181" t="str">
            <v>MZ7L3960HCJR-00A07</v>
          </cell>
          <cell r="E19181" t="str">
            <v>S662NE0T614305</v>
          </cell>
        </row>
        <row r="19182">
          <cell r="D19182" t="str">
            <v>MZ7L3960HCJR-00A07</v>
          </cell>
          <cell r="E19182" t="str">
            <v>S662NE0T614306</v>
          </cell>
        </row>
        <row r="19183">
          <cell r="D19183" t="str">
            <v>MZ7L3960HCJR-00A07</v>
          </cell>
          <cell r="E19183" t="str">
            <v>S662NE0T614311</v>
          </cell>
        </row>
        <row r="19184">
          <cell r="D19184" t="str">
            <v>MZ7L3960HCJR-00A07</v>
          </cell>
          <cell r="E19184" t="str">
            <v>S662NE0T614308</v>
          </cell>
        </row>
        <row r="19185">
          <cell r="D19185" t="str">
            <v>MZ7L3960HCJR-00A07</v>
          </cell>
          <cell r="E19185" t="str">
            <v>S662NE0T614309</v>
          </cell>
        </row>
        <row r="19186">
          <cell r="D19186" t="str">
            <v>MZ7L3960HCJR-00A07</v>
          </cell>
          <cell r="E19186" t="str">
            <v>S662NE0T614310</v>
          </cell>
        </row>
        <row r="19187">
          <cell r="D19187" t="str">
            <v>CSE-113AC2-605WB</v>
          </cell>
          <cell r="E19187" t="str">
            <v>C1130LK43P60006</v>
          </cell>
        </row>
        <row r="19188">
          <cell r="D19188" t="str">
            <v>CSE-113AC2-605WB</v>
          </cell>
          <cell r="E19188" t="str">
            <v>C1130LK43P60013</v>
          </cell>
        </row>
        <row r="19189">
          <cell r="D19189" t="str">
            <v>CSE-113AC2-605WB</v>
          </cell>
          <cell r="E19189" t="str">
            <v>C1130LK43P60007</v>
          </cell>
        </row>
        <row r="19190">
          <cell r="D19190" t="str">
            <v>CSE-113AC2-605WB</v>
          </cell>
          <cell r="E19190" t="str">
            <v>C1130LK43P60017</v>
          </cell>
        </row>
        <row r="19191">
          <cell r="D19191" t="str">
            <v>CSE-113AC2-605WB</v>
          </cell>
          <cell r="E19191" t="str">
            <v>C1130LK43P60046</v>
          </cell>
        </row>
        <row r="19192">
          <cell r="D19192" t="str">
            <v>CSE-113AC2-605WB</v>
          </cell>
          <cell r="E19192" t="str">
            <v>C1130LK43P60010</v>
          </cell>
        </row>
        <row r="19193">
          <cell r="D19193" t="str">
            <v>CSE-113AC2-605WB</v>
          </cell>
          <cell r="E19193" t="str">
            <v>C1130LK43P60018</v>
          </cell>
        </row>
        <row r="19194">
          <cell r="D19194" t="str">
            <v>CSE-113AC2-605WB</v>
          </cell>
          <cell r="E19194" t="str">
            <v>C1130LK43P60019</v>
          </cell>
        </row>
        <row r="19195">
          <cell r="D19195" t="str">
            <v>CSE-113AC2-605WB</v>
          </cell>
          <cell r="E19195" t="str">
            <v>C1130LK43P60038</v>
          </cell>
        </row>
        <row r="19196">
          <cell r="D19196" t="str">
            <v>CSE-113AC2-605WB</v>
          </cell>
          <cell r="E19196" t="str">
            <v>C1130LK43P60037</v>
          </cell>
        </row>
        <row r="19197">
          <cell r="D19197" t="str">
            <v>MBD-X11DDW-NT-B</v>
          </cell>
          <cell r="E19197" t="str">
            <v>NM222S004249</v>
          </cell>
        </row>
        <row r="19198">
          <cell r="D19198" t="str">
            <v>MBD-X11DDW-NT-B</v>
          </cell>
          <cell r="E19198" t="str">
            <v>NM222S004238</v>
          </cell>
        </row>
        <row r="19199">
          <cell r="D19199" t="str">
            <v>MBD-X11DDW-NT-B</v>
          </cell>
          <cell r="E19199" t="str">
            <v>NM222S004236</v>
          </cell>
        </row>
        <row r="19200">
          <cell r="D19200" t="str">
            <v>MBD-X11DDW-NT-B</v>
          </cell>
          <cell r="E19200" t="str">
            <v>NM222S004244</v>
          </cell>
        </row>
        <row r="19201">
          <cell r="D19201" t="str">
            <v>MBD-X11DDW-NT-B</v>
          </cell>
          <cell r="E19201" t="str">
            <v>NM222S004210</v>
          </cell>
        </row>
        <row r="19202">
          <cell r="D19202" t="str">
            <v>MBD-X11DDW-NT-B</v>
          </cell>
          <cell r="E19202" t="str">
            <v>NM222S004271</v>
          </cell>
        </row>
        <row r="19203">
          <cell r="D19203" t="str">
            <v>MBD-X11DDW-NT-B</v>
          </cell>
          <cell r="E19203" t="str">
            <v>NM222S004272</v>
          </cell>
        </row>
        <row r="19204">
          <cell r="D19204" t="str">
            <v>MBD-X11DDW-NT-B</v>
          </cell>
          <cell r="E19204" t="str">
            <v>NM222S004246</v>
          </cell>
        </row>
        <row r="19205">
          <cell r="D19205" t="str">
            <v>MBD-X11DDW-NT-B</v>
          </cell>
          <cell r="E19205" t="str">
            <v>NM222S004105</v>
          </cell>
        </row>
        <row r="19206">
          <cell r="D19206" t="str">
            <v>MBD-X11DDW-NT-B</v>
          </cell>
          <cell r="E19206" t="str">
            <v>NM222S004266</v>
          </cell>
        </row>
        <row r="19207">
          <cell r="D19207" t="str">
            <v>MBD-X11DDW-NT-B</v>
          </cell>
          <cell r="E19207" t="str">
            <v>NM222S004297</v>
          </cell>
        </row>
        <row r="19208">
          <cell r="D19208" t="str">
            <v>MBD-X11DDW-NT-B</v>
          </cell>
          <cell r="E19208" t="str">
            <v>NM222S004295</v>
          </cell>
        </row>
        <row r="19209">
          <cell r="D19209" t="str">
            <v>MBD-X11DDW-NT-B</v>
          </cell>
          <cell r="E19209" t="str">
            <v>NM222S004167</v>
          </cell>
        </row>
        <row r="19210">
          <cell r="D19210" t="str">
            <v>MBD-X11DDW-NT-B</v>
          </cell>
          <cell r="E19210" t="str">
            <v>NM222S004166</v>
          </cell>
        </row>
        <row r="19211">
          <cell r="D19211" t="str">
            <v>MBD-X11DDW-NT-B</v>
          </cell>
          <cell r="E19211" t="str">
            <v>NM222S004220</v>
          </cell>
        </row>
        <row r="19212">
          <cell r="D19212" t="str">
            <v>MBD-X11DDW-NT-B</v>
          </cell>
          <cell r="E19212" t="str">
            <v>NM222S004267</v>
          </cell>
        </row>
        <row r="19213">
          <cell r="D19213" t="str">
            <v>MBD-X11DDW-NT-B</v>
          </cell>
          <cell r="E19213" t="str">
            <v>NM222S003905</v>
          </cell>
        </row>
        <row r="19214">
          <cell r="D19214" t="str">
            <v>MBD-X11DDW-NT-B</v>
          </cell>
          <cell r="E19214" t="str">
            <v>NM222S003934</v>
          </cell>
        </row>
        <row r="19215">
          <cell r="D19215" t="str">
            <v>MBD-X11DDW-NT-B</v>
          </cell>
          <cell r="E19215" t="str">
            <v>NM222S004300</v>
          </cell>
        </row>
        <row r="19216">
          <cell r="D19216" t="str">
            <v>MBD-X11DDW-NT-B</v>
          </cell>
          <cell r="E19216" t="str">
            <v>NM222S004299</v>
          </cell>
        </row>
        <row r="19217">
          <cell r="D19217" t="str">
            <v>MBD-X11DDW-NT-B</v>
          </cell>
          <cell r="E19217" t="str">
            <v>NM222S004187</v>
          </cell>
        </row>
        <row r="19218">
          <cell r="D19218" t="str">
            <v>MBD-X11DDW-NT-B</v>
          </cell>
          <cell r="E19218" t="str">
            <v>NM222S004264</v>
          </cell>
        </row>
        <row r="19219">
          <cell r="D19219" t="str">
            <v>MBD-X11DDW-NT-B</v>
          </cell>
          <cell r="E19219" t="str">
            <v>NM221S000512</v>
          </cell>
        </row>
        <row r="19220">
          <cell r="D19220" t="str">
            <v>MBD-X11DDW-NT-B</v>
          </cell>
          <cell r="E19220" t="str">
            <v>NM222S003927</v>
          </cell>
        </row>
        <row r="19221">
          <cell r="D19221" t="str">
            <v>MBD-X11DDW-NT-B</v>
          </cell>
          <cell r="E19221" t="str">
            <v>NM221S000513</v>
          </cell>
        </row>
        <row r="19222">
          <cell r="D19222" t="str">
            <v>MBD-X11DDW-NT-B</v>
          </cell>
          <cell r="E19222" t="str">
            <v>NM222S004186</v>
          </cell>
        </row>
        <row r="19223">
          <cell r="D19223" t="str">
            <v>MBD-X11DDW-NT-B</v>
          </cell>
          <cell r="E19223" t="str">
            <v>NM222S004026</v>
          </cell>
        </row>
        <row r="19224">
          <cell r="D19224" t="str">
            <v>MBD-X11DDW-NT-B</v>
          </cell>
          <cell r="E19224" t="str">
            <v>NM222S004025</v>
          </cell>
        </row>
        <row r="19225">
          <cell r="D19225" t="str">
            <v>MBD-X11DDW-NT-B</v>
          </cell>
          <cell r="E19225" t="str">
            <v>NM222S003992</v>
          </cell>
        </row>
        <row r="19226">
          <cell r="D19226" t="str">
            <v>MBD-X11DDW-NT-B</v>
          </cell>
          <cell r="E19226" t="str">
            <v>NM222S003996</v>
          </cell>
        </row>
        <row r="19227">
          <cell r="D19227" t="str">
            <v>MBD-X11DDW-NT-B</v>
          </cell>
          <cell r="E19227" t="str">
            <v>NM222S004047</v>
          </cell>
        </row>
        <row r="19228">
          <cell r="D19228" t="str">
            <v>MBD-X11DDW-NT-B</v>
          </cell>
          <cell r="E19228" t="str">
            <v>NM222S004199</v>
          </cell>
        </row>
        <row r="19229">
          <cell r="D19229" t="str">
            <v>MBD-X11DDW-NT-B</v>
          </cell>
          <cell r="E19229" t="str">
            <v>NM222S004180</v>
          </cell>
        </row>
        <row r="19230">
          <cell r="D19230" t="str">
            <v>MBD-X11DDW-NT-B</v>
          </cell>
          <cell r="E19230" t="str">
            <v>NM222S003933</v>
          </cell>
        </row>
        <row r="19231">
          <cell r="D19231" t="str">
            <v>MBD-X11DDW-NT-B</v>
          </cell>
          <cell r="E19231" t="str">
            <v>NM222S004303</v>
          </cell>
        </row>
        <row r="19232">
          <cell r="D19232" t="str">
            <v>MBD-X11DDW-NT-B</v>
          </cell>
          <cell r="E19232" t="str">
            <v>NM222S004045</v>
          </cell>
        </row>
        <row r="19233">
          <cell r="D19233" t="str">
            <v>MBD-X11DDW-NT-B</v>
          </cell>
          <cell r="E19233" t="str">
            <v>NM222S003994</v>
          </cell>
        </row>
        <row r="19234">
          <cell r="D19234" t="str">
            <v>MBD-X11DDW-NT-B</v>
          </cell>
          <cell r="E19234" t="str">
            <v>NM222S004046</v>
          </cell>
        </row>
        <row r="19235">
          <cell r="D19235" t="str">
            <v>MBD-X11DDW-NT-B</v>
          </cell>
          <cell r="E19235" t="str">
            <v>NM222S004008</v>
          </cell>
        </row>
        <row r="19236">
          <cell r="D19236" t="str">
            <v>MBD-X11DDW-NT-B</v>
          </cell>
          <cell r="E19236" t="str">
            <v>NM222S004315</v>
          </cell>
        </row>
        <row r="19237">
          <cell r="D19237" t="str">
            <v>MBD-X11DDW-NT-B</v>
          </cell>
          <cell r="E19237" t="str">
            <v>NM222S004202</v>
          </cell>
        </row>
        <row r="19238">
          <cell r="D19238" t="str">
            <v>MBD-X11DDW-NT-B</v>
          </cell>
          <cell r="E19238" t="str">
            <v>NM222S004257</v>
          </cell>
        </row>
        <row r="19239">
          <cell r="D19239" t="str">
            <v>MBD-X11DDW-NT-B</v>
          </cell>
          <cell r="E19239" t="str">
            <v>NM222S004259</v>
          </cell>
        </row>
        <row r="19240">
          <cell r="D19240" t="str">
            <v>MBD-X11DDW-NT-B</v>
          </cell>
          <cell r="E19240" t="str">
            <v>NM222S003923</v>
          </cell>
        </row>
        <row r="19241">
          <cell r="D19241" t="str">
            <v>MBD-X11DDW-NT-B</v>
          </cell>
          <cell r="E19241" t="str">
            <v>NM222S004049</v>
          </cell>
        </row>
        <row r="19242">
          <cell r="D19242" t="str">
            <v>MBD-X11SCW-F-B</v>
          </cell>
          <cell r="E19242" t="str">
            <v>ZM224S006383</v>
          </cell>
        </row>
        <row r="19243">
          <cell r="D19243" t="str">
            <v>MBD-X11SCW-F-B</v>
          </cell>
          <cell r="E19243" t="str">
            <v>ZM224S006394</v>
          </cell>
        </row>
        <row r="19244">
          <cell r="D19244" t="str">
            <v>MBD-X11SCW-F-B</v>
          </cell>
          <cell r="E19244" t="str">
            <v>ZM224S006553</v>
          </cell>
        </row>
        <row r="19245">
          <cell r="D19245" t="str">
            <v>MBD-X11SCW-F-B</v>
          </cell>
          <cell r="E19245" t="str">
            <v>ZM224S006554</v>
          </cell>
        </row>
        <row r="19246">
          <cell r="D19246" t="str">
            <v>MBD-X11SCW-F-B</v>
          </cell>
          <cell r="E19246" t="str">
            <v>ZM224S008463</v>
          </cell>
        </row>
        <row r="19247">
          <cell r="D19247" t="str">
            <v>MBD-X11SCW-F-B</v>
          </cell>
          <cell r="E19247" t="str">
            <v>ZM224S008464</v>
          </cell>
        </row>
        <row r="19248">
          <cell r="D19248" t="str">
            <v>MBD-X11SCW-F-B</v>
          </cell>
          <cell r="E19248" t="str">
            <v>ZM224S008492</v>
          </cell>
        </row>
        <row r="19249">
          <cell r="D19249" t="str">
            <v>MBD-X11SCW-F-B</v>
          </cell>
          <cell r="E19249" t="str">
            <v>ZM224S008498</v>
          </cell>
        </row>
        <row r="19250">
          <cell r="D19250" t="str">
            <v>MBD-X11SCW-F-B</v>
          </cell>
          <cell r="E19250" t="str">
            <v>ZM224S008499</v>
          </cell>
        </row>
        <row r="19251">
          <cell r="D19251" t="str">
            <v>MBD-X11SCW-F-B</v>
          </cell>
          <cell r="E19251" t="str">
            <v>ZM224S008502</v>
          </cell>
        </row>
        <row r="19252">
          <cell r="D19252" t="str">
            <v>MBD-X11SCW-F-B</v>
          </cell>
          <cell r="E19252" t="str">
            <v>ZM226S009200</v>
          </cell>
        </row>
        <row r="19253">
          <cell r="D19253" t="str">
            <v>MBD-X11SCW-F-B</v>
          </cell>
          <cell r="E19253" t="str">
            <v>ZM226S013666</v>
          </cell>
        </row>
        <row r="19254">
          <cell r="D19254" t="str">
            <v>MBD-X11SCW-F-B</v>
          </cell>
          <cell r="E19254" t="str">
            <v>ZM226S013679</v>
          </cell>
        </row>
        <row r="19255">
          <cell r="D19255" t="str">
            <v>MBD-X11SCW-F-B</v>
          </cell>
          <cell r="E19255" t="str">
            <v>ZM226S013700</v>
          </cell>
        </row>
        <row r="19256">
          <cell r="D19256" t="str">
            <v>MBD-X11SCW-F-B</v>
          </cell>
          <cell r="E19256" t="str">
            <v>ZM226S013701</v>
          </cell>
        </row>
        <row r="19257">
          <cell r="D19257" t="str">
            <v>MBD-X11SCW-F-B</v>
          </cell>
          <cell r="E19257" t="str">
            <v>ZM226S013702</v>
          </cell>
        </row>
        <row r="19258">
          <cell r="D19258" t="str">
            <v>MBD-X11SCW-F-B</v>
          </cell>
          <cell r="E19258" t="str">
            <v>ZM226S013792</v>
          </cell>
        </row>
        <row r="19259">
          <cell r="D19259" t="str">
            <v>MBD-X11SCW-F-B</v>
          </cell>
          <cell r="E19259" t="str">
            <v>ZM226S013793</v>
          </cell>
        </row>
        <row r="19260">
          <cell r="D19260" t="str">
            <v>MBD-X11SCW-F-B</v>
          </cell>
          <cell r="E19260" t="str">
            <v>ZM226S013911</v>
          </cell>
        </row>
        <row r="19261">
          <cell r="D19261" t="str">
            <v>MBD-X11SCW-F-B</v>
          </cell>
          <cell r="E19261" t="str">
            <v>ZM226S014028</v>
          </cell>
        </row>
        <row r="19262">
          <cell r="D19262" t="str">
            <v>CSE-113AC2-R706WB2</v>
          </cell>
          <cell r="E19262" t="str">
            <v>C1130LK43P90207</v>
          </cell>
        </row>
        <row r="19263">
          <cell r="D19263" t="str">
            <v>PWS</v>
          </cell>
          <cell r="E19263" t="str">
            <v>P7061VL40GB0468</v>
          </cell>
        </row>
        <row r="19264">
          <cell r="D19264" t="str">
            <v>PWS</v>
          </cell>
          <cell r="E19264" t="str">
            <v>P7061VL40GB0467</v>
          </cell>
        </row>
        <row r="19265">
          <cell r="D19265" t="str">
            <v>BPN</v>
          </cell>
          <cell r="E19265" t="str">
            <v>PB216S000672</v>
          </cell>
        </row>
        <row r="19266">
          <cell r="D19266" t="str">
            <v>CSE-113AC2-R706WB2</v>
          </cell>
          <cell r="E19266" t="str">
            <v>C1130LK43P90288</v>
          </cell>
        </row>
        <row r="19267">
          <cell r="D19267" t="str">
            <v>PWS</v>
          </cell>
          <cell r="E19267" t="str">
            <v>P7061VL40GB0455</v>
          </cell>
        </row>
        <row r="19268">
          <cell r="D19268" t="str">
            <v>PWS</v>
          </cell>
          <cell r="E19268" t="str">
            <v>P7061VL40GB0454</v>
          </cell>
        </row>
        <row r="19269">
          <cell r="D19269" t="str">
            <v>BPN</v>
          </cell>
          <cell r="E19269" t="str">
            <v>PB216S000644</v>
          </cell>
        </row>
        <row r="19270">
          <cell r="D19270" t="str">
            <v>CSE-113AC2-R706WB2</v>
          </cell>
          <cell r="E19270" t="str">
            <v>C1130LK43P90289</v>
          </cell>
        </row>
        <row r="19271">
          <cell r="D19271" t="str">
            <v>PWS</v>
          </cell>
          <cell r="E19271" t="str">
            <v>P7061VL40GB0457</v>
          </cell>
        </row>
        <row r="19272">
          <cell r="D19272" t="str">
            <v>PWS</v>
          </cell>
          <cell r="E19272" t="str">
            <v>P7061VL40GB0456</v>
          </cell>
        </row>
        <row r="19273">
          <cell r="D19273" t="str">
            <v>BPN</v>
          </cell>
          <cell r="E19273" t="str">
            <v>PB216S000733</v>
          </cell>
        </row>
        <row r="19274">
          <cell r="D19274" t="str">
            <v>CSE-113AC2-R706WB2</v>
          </cell>
          <cell r="E19274" t="str">
            <v>C1130LK43P90290</v>
          </cell>
        </row>
        <row r="19275">
          <cell r="D19275" t="str">
            <v>PWS</v>
          </cell>
          <cell r="E19275" t="str">
            <v>P7061VL40GB0458</v>
          </cell>
        </row>
        <row r="19276">
          <cell r="D19276" t="str">
            <v>PWS</v>
          </cell>
          <cell r="E19276" t="str">
            <v>P7061VL40GB0459</v>
          </cell>
        </row>
        <row r="19277">
          <cell r="D19277" t="str">
            <v>BPN</v>
          </cell>
          <cell r="E19277" t="str">
            <v>PB216S000658</v>
          </cell>
        </row>
        <row r="19278">
          <cell r="D19278" t="str">
            <v>CSE-113AC2-R706WB2</v>
          </cell>
          <cell r="E19278" t="str">
            <v>C1130LK43P90175</v>
          </cell>
        </row>
        <row r="19279">
          <cell r="D19279" t="str">
            <v>PWS</v>
          </cell>
          <cell r="E19279" t="str">
            <v>P7061VL40GB0373</v>
          </cell>
        </row>
        <row r="19280">
          <cell r="D19280" t="str">
            <v>PWS</v>
          </cell>
          <cell r="E19280" t="str">
            <v>P7061VL40GB0372</v>
          </cell>
        </row>
        <row r="19281">
          <cell r="D19281" t="str">
            <v>BPN</v>
          </cell>
          <cell r="E19281" t="str">
            <v>PB216S000728</v>
          </cell>
        </row>
        <row r="19282">
          <cell r="D19282" t="str">
            <v>CSE-113AC2-R706WB2</v>
          </cell>
          <cell r="E19282" t="str">
            <v>C1130LK43P90203</v>
          </cell>
        </row>
        <row r="19283">
          <cell r="D19283" t="str">
            <v>PWS</v>
          </cell>
          <cell r="E19283" t="str">
            <v>P7061VL40GB0063</v>
          </cell>
        </row>
        <row r="19284">
          <cell r="D19284" t="str">
            <v>PWS</v>
          </cell>
          <cell r="E19284" t="str">
            <v>P7061VL40GB0064</v>
          </cell>
        </row>
        <row r="19285">
          <cell r="D19285" t="str">
            <v>BPN</v>
          </cell>
          <cell r="E19285" t="str">
            <v>PB216S000735</v>
          </cell>
        </row>
        <row r="19286">
          <cell r="D19286" t="str">
            <v>CSE-113AC2-R706WB2</v>
          </cell>
          <cell r="E19286" t="str">
            <v>C1130LK43P90204</v>
          </cell>
        </row>
        <row r="19287">
          <cell r="D19287" t="str">
            <v>PWS</v>
          </cell>
          <cell r="E19287" t="str">
            <v>P7061VL40GB0376</v>
          </cell>
        </row>
        <row r="19288">
          <cell r="D19288" t="str">
            <v>PWS</v>
          </cell>
          <cell r="E19288" t="str">
            <v>P7061VL40GB0377</v>
          </cell>
        </row>
        <row r="19289">
          <cell r="D19289" t="str">
            <v>BPN</v>
          </cell>
          <cell r="E19289" t="str">
            <v>PB216S000693</v>
          </cell>
        </row>
        <row r="19290">
          <cell r="D19290" t="str">
            <v>CSE-113AC2-R706WB2</v>
          </cell>
          <cell r="E19290" t="str">
            <v>C1130LK43P90205</v>
          </cell>
        </row>
        <row r="19291">
          <cell r="D19291" t="str">
            <v>PWS</v>
          </cell>
          <cell r="E19291" t="str">
            <v>P7061VL40GB0371</v>
          </cell>
        </row>
        <row r="19292">
          <cell r="D19292" t="str">
            <v>PWS</v>
          </cell>
          <cell r="E19292" t="str">
            <v>P7061VL40GB0374</v>
          </cell>
        </row>
        <row r="19293">
          <cell r="D19293" t="str">
            <v>BPN</v>
          </cell>
          <cell r="E19293" t="str">
            <v>PB216S000695</v>
          </cell>
        </row>
        <row r="19294">
          <cell r="D19294" t="str">
            <v>CSE-113AC2-R706WB2</v>
          </cell>
          <cell r="E19294" t="str">
            <v>C1130LK43P90210</v>
          </cell>
        </row>
        <row r="19295">
          <cell r="D19295" t="str">
            <v>PWS</v>
          </cell>
          <cell r="E19295" t="str">
            <v>P7061VL40GB0470</v>
          </cell>
        </row>
        <row r="19296">
          <cell r="D19296" t="str">
            <v>PWS</v>
          </cell>
          <cell r="E19296" t="str">
            <v>P7061VL40GB0469</v>
          </cell>
        </row>
        <row r="19297">
          <cell r="D19297" t="str">
            <v>BPN</v>
          </cell>
          <cell r="E19297" t="str">
            <v>PB216S000673</v>
          </cell>
        </row>
        <row r="19298">
          <cell r="D19298" t="str">
            <v>CSE-113AC2-R706WB2</v>
          </cell>
          <cell r="E19298" t="str">
            <v>C1130LK43P90291</v>
          </cell>
        </row>
        <row r="19299">
          <cell r="D19299" t="str">
            <v>PWS</v>
          </cell>
          <cell r="E19299" t="str">
            <v>P7061VL40GB0451</v>
          </cell>
        </row>
        <row r="19300">
          <cell r="D19300" t="str">
            <v>PWS</v>
          </cell>
          <cell r="E19300" t="str">
            <v>P7061VL40GB0460</v>
          </cell>
        </row>
        <row r="19301">
          <cell r="D19301" t="str">
            <v>BPN</v>
          </cell>
          <cell r="E19301" t="str">
            <v>PB216S000694</v>
          </cell>
        </row>
        <row r="19302">
          <cell r="D19302" t="str">
            <v>MBD-X11SCL-F-O</v>
          </cell>
          <cell r="E19302" t="str">
            <v>VM223S002953</v>
          </cell>
        </row>
        <row r="19303">
          <cell r="D19303" t="str">
            <v>MBD-X11SCL-F-O</v>
          </cell>
          <cell r="E19303" t="str">
            <v>VM223S002920</v>
          </cell>
        </row>
        <row r="19304">
          <cell r="D19304" t="str">
            <v>MEM-DR432L-CV01-EU32</v>
          </cell>
          <cell r="E19304" t="str">
            <v>S802C252202F3139D6F</v>
          </cell>
        </row>
        <row r="19305">
          <cell r="D19305" t="str">
            <v>MEM-DR432L-CV01-EU32</v>
          </cell>
          <cell r="E19305" t="str">
            <v>S802C252202F3139CFB</v>
          </cell>
        </row>
        <row r="19306">
          <cell r="D19306" t="str">
            <v>MEM-DR432L-CV01-EU32</v>
          </cell>
          <cell r="E19306" t="str">
            <v>S802C252202F3139CF3</v>
          </cell>
        </row>
        <row r="19307">
          <cell r="D19307" t="str">
            <v>MEM-DR432L-CV01-EU32</v>
          </cell>
          <cell r="E19307" t="str">
            <v>S802C252202F3139D2F</v>
          </cell>
        </row>
        <row r="19308">
          <cell r="D19308" t="str">
            <v>MEM-DR432L-CV01-EU32</v>
          </cell>
          <cell r="E19308" t="str">
            <v>S802C252202F3139D33</v>
          </cell>
        </row>
        <row r="19309">
          <cell r="D19309" t="str">
            <v>MEM-DR432L-CV01-EU32</v>
          </cell>
          <cell r="E19309" t="str">
            <v>S802C252202F3139D1A</v>
          </cell>
        </row>
        <row r="19310">
          <cell r="D19310" t="str">
            <v>MEM-DR432L-CV01-EU32</v>
          </cell>
          <cell r="E19310" t="str">
            <v>S802C252202F3139CF6</v>
          </cell>
        </row>
        <row r="19311">
          <cell r="D19311" t="str">
            <v>MEM-DR416L-CV02-EU26</v>
          </cell>
          <cell r="E19311" t="str">
            <v>S802C0F220634AE0082</v>
          </cell>
        </row>
        <row r="19312">
          <cell r="D19312" t="str">
            <v>MEM-DR416L-CV02-EU26</v>
          </cell>
          <cell r="E19312" t="str">
            <v>S802C0F220734F3FD41</v>
          </cell>
        </row>
        <row r="19313">
          <cell r="D19313" t="str">
            <v>MEM-DR416L-CV02-EU26</v>
          </cell>
          <cell r="E19313" t="str">
            <v>S802C0F220734F3FD26</v>
          </cell>
        </row>
        <row r="19314">
          <cell r="D19314" t="str">
            <v>MEM-DR416L-CV02-EU26</v>
          </cell>
          <cell r="E19314" t="str">
            <v>S802C0F220734F3FCB0</v>
          </cell>
        </row>
        <row r="19315">
          <cell r="D19315" t="str">
            <v>KR M393A8G40MB2-CVF 2212</v>
          </cell>
          <cell r="E19315" t="str">
            <v>Y0VO1O021224683771</v>
          </cell>
        </row>
        <row r="19316">
          <cell r="D19316" t="str">
            <v>KR M393A8G40MB2-CVF 2212</v>
          </cell>
          <cell r="E19316" t="str">
            <v>Y0VO1O0212246837CD</v>
          </cell>
        </row>
        <row r="19317">
          <cell r="D19317" t="str">
            <v>KR M393A8G40MB2-CVF 2212</v>
          </cell>
          <cell r="E19317" t="str">
            <v>Y0VO31021224683B3F</v>
          </cell>
        </row>
        <row r="19318">
          <cell r="D19318" t="str">
            <v>KR M393A8G40MB2-CVF 2212</v>
          </cell>
          <cell r="E19318" t="str">
            <v>Y0VO31021224683B13</v>
          </cell>
        </row>
        <row r="19319">
          <cell r="D19319" t="str">
            <v>KR M393A8G40MB2-CVF 2212</v>
          </cell>
          <cell r="E19319" t="str">
            <v>Y0VO31021224683B45</v>
          </cell>
        </row>
        <row r="19320">
          <cell r="D19320" t="str">
            <v>KR M393A8G40MB2-CVF 2212</v>
          </cell>
          <cell r="E19320" t="str">
            <v>Y0VO31021224683B08</v>
          </cell>
        </row>
        <row r="19321">
          <cell r="D19321" t="str">
            <v>KR M393A8G40MB2-CVF 2212</v>
          </cell>
          <cell r="E19321" t="str">
            <v>Y0VO31021224683B2A</v>
          </cell>
        </row>
        <row r="19322">
          <cell r="D19322" t="str">
            <v>KR M393A8G40MB2-CVF 2212</v>
          </cell>
          <cell r="E19322" t="str">
            <v>Y0VO31021224683C2D</v>
          </cell>
        </row>
        <row r="19323">
          <cell r="D19323" t="str">
            <v>KR M393A8G40MB2-CVF 2212</v>
          </cell>
          <cell r="E19323" t="str">
            <v>Y0VO31021224683B50</v>
          </cell>
        </row>
        <row r="19324">
          <cell r="D19324" t="str">
            <v>KR M393A8G40MB2-CVF 2212</v>
          </cell>
          <cell r="E19324" t="str">
            <v>Y0VO1O021224683743</v>
          </cell>
        </row>
        <row r="19325">
          <cell r="D19325" t="str">
            <v>KR M393A8G40MB2-CVF 2212</v>
          </cell>
          <cell r="E19325" t="str">
            <v>Y0VO1O021224683794</v>
          </cell>
        </row>
        <row r="19326">
          <cell r="D19326" t="str">
            <v>KR M393A8G40MB2-CVF 2212</v>
          </cell>
          <cell r="E19326" t="str">
            <v>Y0VO1O021224683759</v>
          </cell>
        </row>
        <row r="19327">
          <cell r="D19327" t="str">
            <v>KR M393A8G40MB2-CVF 2212</v>
          </cell>
          <cell r="E19327" t="str">
            <v>Y0VO1O021224683786</v>
          </cell>
        </row>
        <row r="19328">
          <cell r="D19328" t="str">
            <v>KR M393A8G40MB2-CVF 2212</v>
          </cell>
          <cell r="E19328" t="str">
            <v>Y0VO1O021224683744</v>
          </cell>
        </row>
        <row r="19329">
          <cell r="D19329" t="str">
            <v>KR M393A8G40MB2-CVF 2212</v>
          </cell>
          <cell r="E19329" t="str">
            <v>Y0VO1O021224683772</v>
          </cell>
        </row>
        <row r="19330">
          <cell r="D19330" t="str">
            <v>KR M393A8G40MB2-CVF 2212</v>
          </cell>
          <cell r="E19330" t="str">
            <v>Y0VO1O0212246836BD</v>
          </cell>
        </row>
        <row r="19331">
          <cell r="D19331" t="str">
            <v>KR M393A8G40MB2-CVF 2212</v>
          </cell>
          <cell r="E19331" t="str">
            <v>Y0VO1O021224683789</v>
          </cell>
        </row>
        <row r="19332">
          <cell r="D19332" t="str">
            <v>KR M393A8G40MB2-CVF 2212</v>
          </cell>
          <cell r="E19332" t="str">
            <v>Y0VO1O0212246836B3</v>
          </cell>
        </row>
        <row r="19333">
          <cell r="D19333" t="str">
            <v>KSM32ED8/32HC</v>
          </cell>
          <cell r="E19333" t="str">
            <v>2225 0000009510481-S000077</v>
          </cell>
        </row>
        <row r="19334">
          <cell r="D19334" t="str">
            <v>KSM32ED8/32HC</v>
          </cell>
          <cell r="E19334" t="str">
            <v>2225 0000009510481-S000089</v>
          </cell>
        </row>
        <row r="19335">
          <cell r="D19335" t="str">
            <v>KSM32ED8/32HC</v>
          </cell>
          <cell r="E19335" t="str">
            <v>2225 0000009510481-S000081</v>
          </cell>
        </row>
        <row r="19336">
          <cell r="D19336" t="str">
            <v>KSM32ED8/32HC</v>
          </cell>
          <cell r="E19336" t="str">
            <v>2225 0000009510481-S000085</v>
          </cell>
        </row>
        <row r="19337">
          <cell r="D19337" t="str">
            <v>KSM32ED8/32HC</v>
          </cell>
          <cell r="E19337" t="str">
            <v>2225 0000009510481-S000118</v>
          </cell>
        </row>
        <row r="19338">
          <cell r="D19338" t="str">
            <v>KSM32ED8/32HC</v>
          </cell>
          <cell r="E19338" t="str">
            <v>2225 0000009510481-S000129</v>
          </cell>
        </row>
        <row r="19339">
          <cell r="D19339" t="str">
            <v>KSM32ED8/32HC</v>
          </cell>
          <cell r="E19339" t="str">
            <v>2225 0000009510481-S000072</v>
          </cell>
        </row>
        <row r="19340">
          <cell r="D19340" t="str">
            <v>KSM32ED8/32HC</v>
          </cell>
          <cell r="E19340" t="str">
            <v>2225 0000009510481-S000084</v>
          </cell>
        </row>
        <row r="19341">
          <cell r="D19341" t="str">
            <v>KSM32ED8/32HC</v>
          </cell>
          <cell r="E19341" t="str">
            <v>2225 0000009510481-S000132</v>
          </cell>
        </row>
        <row r="19342">
          <cell r="D19342" t="str">
            <v>KSM32ED8/32HC</v>
          </cell>
          <cell r="E19342" t="str">
            <v>2225 0000009510481-S000076</v>
          </cell>
        </row>
        <row r="19343">
          <cell r="D19343" t="str">
            <v>KSM32ED8/32HC</v>
          </cell>
          <cell r="E19343" t="str">
            <v>2225 0000009510481-S000152</v>
          </cell>
        </row>
        <row r="19344">
          <cell r="D19344" t="str">
            <v>KSM32ED8/32HC</v>
          </cell>
          <cell r="E19344" t="str">
            <v>2225 0000009510481-S000156</v>
          </cell>
        </row>
        <row r="19345">
          <cell r="D19345" t="str">
            <v>KSM32ED8/32HC</v>
          </cell>
          <cell r="E19345" t="str">
            <v>2225 0000009510481-S000155</v>
          </cell>
        </row>
        <row r="19346">
          <cell r="D19346" t="str">
            <v>KSM32ED8/32HC</v>
          </cell>
          <cell r="E19346" t="str">
            <v>2225 0000009510481-S000164</v>
          </cell>
        </row>
        <row r="19347">
          <cell r="D19347" t="str">
            <v>KSM32ED8/32HC</v>
          </cell>
          <cell r="E19347" t="str">
            <v>2225 0000009510481-S000083</v>
          </cell>
        </row>
        <row r="19348">
          <cell r="D19348" t="str">
            <v>KSM32ED8/32HC</v>
          </cell>
          <cell r="E19348" t="str">
            <v>2225 0000009510481-S000163</v>
          </cell>
        </row>
        <row r="19349">
          <cell r="D19349" t="str">
            <v>KSM32ED8/32HC</v>
          </cell>
          <cell r="E19349" t="str">
            <v>2225 0000009510481-S000162</v>
          </cell>
        </row>
        <row r="19350">
          <cell r="D19350" t="str">
            <v>KSM32ED8/32HC</v>
          </cell>
          <cell r="E19350" t="str">
            <v>2225 0000009510481-S000075</v>
          </cell>
        </row>
        <row r="19351">
          <cell r="D19351" t="str">
            <v>KSM32ED8/32HC</v>
          </cell>
          <cell r="E19351" t="str">
            <v>2225 0000009510481-S000080</v>
          </cell>
        </row>
        <row r="19352">
          <cell r="D19352" t="str">
            <v>KSM32ED8/32HC</v>
          </cell>
          <cell r="E19352" t="str">
            <v>2225 0000009510481-S000067</v>
          </cell>
        </row>
        <row r="19353">
          <cell r="D19353" t="str">
            <v>KSM32ED8/32HC</v>
          </cell>
          <cell r="E19353" t="str">
            <v>2225 0000009510481-S000122</v>
          </cell>
        </row>
        <row r="19354">
          <cell r="D19354" t="str">
            <v>KSM32ED8/32HC</v>
          </cell>
          <cell r="E19354" t="str">
            <v>2225 0000009510481-S000124</v>
          </cell>
        </row>
        <row r="19355">
          <cell r="D19355" t="str">
            <v>MZ-V7S500BW</v>
          </cell>
          <cell r="E19355" t="str">
            <v>S4EVNX0T450639</v>
          </cell>
        </row>
        <row r="19356">
          <cell r="D19356" t="str">
            <v>MZ-V7S500BW</v>
          </cell>
          <cell r="E19356" t="str">
            <v>S4EVNX0T450644</v>
          </cell>
        </row>
        <row r="19357">
          <cell r="D19357" t="str">
            <v>MZ-V7S500BW</v>
          </cell>
          <cell r="E19357" t="str">
            <v>S4EVNX0T450645</v>
          </cell>
        </row>
        <row r="19358">
          <cell r="D19358" t="str">
            <v>MZ-V7S500BW</v>
          </cell>
          <cell r="E19358" t="str">
            <v>S4EVNX0T450648</v>
          </cell>
        </row>
        <row r="19359">
          <cell r="D19359" t="str">
            <v>MZ-V7S500BW</v>
          </cell>
          <cell r="E19359" t="str">
            <v>S4EVNX0T450649</v>
          </cell>
        </row>
        <row r="19360">
          <cell r="D19360" t="str">
            <v>MZ-V7S500BW</v>
          </cell>
          <cell r="E19360" t="str">
            <v>S4EVNX0T450650</v>
          </cell>
        </row>
        <row r="19361">
          <cell r="D19361" t="str">
            <v>MZ-V7S500BW</v>
          </cell>
          <cell r="E19361" t="str">
            <v>S4EVNX0T450651</v>
          </cell>
        </row>
        <row r="19362">
          <cell r="D19362" t="str">
            <v>MZ-V7S500BW</v>
          </cell>
          <cell r="E19362" t="str">
            <v>S4EVNX0T450653</v>
          </cell>
        </row>
        <row r="19363">
          <cell r="D19363" t="str">
            <v>MZ-V7S500BW</v>
          </cell>
          <cell r="E19363" t="str">
            <v>S4EVNX0T450656</v>
          </cell>
        </row>
        <row r="19364">
          <cell r="D19364" t="str">
            <v>MZ-V7S500BW</v>
          </cell>
          <cell r="E19364" t="str">
            <v>S4EVNX0T450665</v>
          </cell>
        </row>
        <row r="19365">
          <cell r="D19365" t="str">
            <v>MZ-V7S500BW</v>
          </cell>
          <cell r="E19365" t="str">
            <v>S4EVNX0T531630</v>
          </cell>
        </row>
        <row r="19366">
          <cell r="D19366" t="str">
            <v>MZ-V7S500BW</v>
          </cell>
          <cell r="E19366" t="str">
            <v>S4EVNX0T531631</v>
          </cell>
        </row>
        <row r="19367">
          <cell r="D19367" t="str">
            <v>MZ-V7S500BW</v>
          </cell>
          <cell r="E19367" t="str">
            <v>S4EVNX0T531632</v>
          </cell>
        </row>
        <row r="19368">
          <cell r="D19368" t="str">
            <v>MZ-V7S500BW</v>
          </cell>
          <cell r="E19368" t="str">
            <v>S4EVNX0T531633</v>
          </cell>
        </row>
        <row r="19369">
          <cell r="D19369" t="str">
            <v>MZ-V7S500BW</v>
          </cell>
          <cell r="E19369" t="str">
            <v>S4EVNX0T531635</v>
          </cell>
        </row>
        <row r="19370">
          <cell r="D19370" t="str">
            <v>MZ-V7S500BW</v>
          </cell>
          <cell r="E19370" t="str">
            <v>S4EVNX0T531636</v>
          </cell>
        </row>
        <row r="19371">
          <cell r="D19371" t="str">
            <v>MZ-V7S500BW</v>
          </cell>
          <cell r="E19371" t="str">
            <v>S4EVNX0T531638</v>
          </cell>
        </row>
        <row r="19372">
          <cell r="D19372" t="str">
            <v>MZ-V7S500BW</v>
          </cell>
          <cell r="E19372" t="str">
            <v>S4EVNX0T531640</v>
          </cell>
        </row>
        <row r="19373">
          <cell r="D19373" t="str">
            <v>MZ-V7S500BW</v>
          </cell>
          <cell r="E19373" t="str">
            <v>S4EVNX0T531643</v>
          </cell>
        </row>
        <row r="19374">
          <cell r="D19374" t="str">
            <v>MZ-V7S500BW</v>
          </cell>
          <cell r="E19374" t="str">
            <v>S4EVNX0T531648</v>
          </cell>
        </row>
        <row r="19375">
          <cell r="D19375" t="str">
            <v>MZ-V7S500BW</v>
          </cell>
          <cell r="E19375" t="str">
            <v>S4EVNX0T450655</v>
          </cell>
        </row>
        <row r="19376">
          <cell r="D19376" t="str">
            <v>MZ-V7S500BW</v>
          </cell>
          <cell r="E19376" t="str">
            <v>S4EVNX0T450662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3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72" t="s">
        <v>194</v>
      </c>
      <c r="B3" s="72"/>
      <c r="C3" s="72"/>
      <c r="D3" s="72"/>
      <c r="E3" s="72"/>
      <c r="F3" s="72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1" workbookViewId="0">
      <selection activeCell="G9" sqref="G9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I22" sqref="I22"/>
    </sheetView>
  </sheetViews>
  <sheetFormatPr defaultRowHeight="11.25" customHeight="1"/>
  <cols>
    <col min="1" max="1" width="26.85546875" style="11" customWidth="1"/>
    <col min="2" max="2" width="5.28515625" style="11" customWidth="1"/>
    <col min="3" max="3" width="37.85546875" customWidth="1"/>
    <col min="5" max="5" width="28.140625" customWidth="1"/>
    <col min="9" max="9" width="28.28515625" customWidth="1"/>
    <col min="10" max="10" width="23.5703125" customWidth="1"/>
    <col min="12" max="14" width="10.140625" customWidth="1"/>
  </cols>
  <sheetData>
    <row r="1" spans="1:11" ht="11.25" customHeight="1">
      <c r="A1" s="68" t="str" cm="1">
        <f t="array" ref="A1:A9">_xlfn.UNIQUE(_xlfn._xlws.FILTER([1]___2022___!$D$1:$D$65536,ISNUMBER(SEARCH(E2,[1]___2022___!$K$1:$K$65536))))</f>
        <v>MEM-DR490L-HL01-EU26</v>
      </c>
      <c r="B1" s="68">
        <f t="shared" ref="B1:B5" si="0">LEN(C1)-LEN(SUBSTITUTE(C1,",",""))+1</f>
        <v>2</v>
      </c>
      <c r="C1" s="69" t="str" cm="1">
        <f t="array" ref="C1">_xlfn.TEXTJOIN(", ",,_xlfn._xlws.FILTER([1]___2022___!$E$1:$E$65536,(([1]___2022___!$D$1:$D$65536=$A1)*(ISNUMBER(SEARCH($E$2,[1]___2022___!$K$1:$K$65536)))),"----------"))</f>
        <v>80AD01215075427B0A, 80AD01215075427BBF</v>
      </c>
      <c r="E1" s="11" t="s">
        <v>3768</v>
      </c>
      <c r="F1" s="11"/>
    </row>
    <row r="2" spans="1:11" ht="11.25" customHeight="1">
      <c r="A2" s="68" t="str">
        <v>SYS-1019C-HTN2</v>
      </c>
      <c r="B2" s="68">
        <f t="shared" si="0"/>
        <v>1</v>
      </c>
      <c r="C2" s="69" t="str" cm="1">
        <f t="array" ref="C2">_xlfn.TEXTJOIN(", ",,_xlfn._xlws.FILTER([1]___2022___!$E$1:$E$65536,(([1]___2022___!$D$1:$D$65536=$A2)*(ISNUMBER(SEARCH($E$2,[1]___2022___!$K$1:$K$65536)))),"----------"))</f>
        <v>A345069X2721201</v>
      </c>
      <c r="E2" s="12" t="s">
        <v>3537</v>
      </c>
      <c r="F2" s="13"/>
      <c r="G2" s="8" t="s">
        <v>3769</v>
      </c>
    </row>
    <row r="3" spans="1:11" ht="11.25" customHeight="1">
      <c r="A3" s="68" t="str">
        <v>CSE-510FT-203B</v>
      </c>
      <c r="B3" s="68">
        <f t="shared" si="0"/>
        <v>1</v>
      </c>
      <c r="C3" s="69" t="str" cm="1">
        <f t="array" ref="C3">_xlfn.TEXTJOIN(", ",,_xlfn._xlws.FILTER([1]___2022___!$E$1:$E$65536,(([1]___2022___!$D$1:$D$65536=$A3)*(ISNUMBER(SEARCH($E$2,[1]___2022___!$K$1:$K$65536)))),"----------"))</f>
        <v>C5100LL25RA0474</v>
      </c>
    </row>
    <row r="4" spans="1:11" ht="11.25" customHeight="1">
      <c r="A4" s="68" t="str">
        <v>PWS-203-1H</v>
      </c>
      <c r="B4" s="68">
        <f t="shared" si="0"/>
        <v>1</v>
      </c>
      <c r="C4" s="69" t="str" cm="1">
        <f t="array" ref="C4">_xlfn.TEXTJOIN(", ",,_xlfn._xlws.FILTER([1]___2022___!$E$1:$E$65536,(([1]___2022___!$D$1:$D$65536=$A4)*(ISNUMBER(SEARCH($E$2,[1]___2022___!$K$1:$K$65536)))),"----------"))</f>
        <v>P20310L48G50305</v>
      </c>
    </row>
    <row r="5" spans="1:11" ht="11.25" customHeight="1">
      <c r="A5" s="68" t="str">
        <v>MBD-X11SCZ-F</v>
      </c>
      <c r="B5" s="68">
        <f t="shared" si="0"/>
        <v>1</v>
      </c>
      <c r="C5" s="69" t="str" cm="1">
        <f t="array" ref="C5">_xlfn.TEXTJOIN(", ",,_xlfn._xlws.FILTER([1]___2022___!$E$1:$E$65536,(([1]___2022___!$D$1:$D$65536=$A5)*(ISNUMBER(SEARCH($E$2,[1]___2022___!$K$1:$K$65536)))),"----------"))</f>
        <v>VM224S013214</v>
      </c>
    </row>
    <row r="6" spans="1:11" ht="11.25" customHeight="1">
      <c r="A6" s="68" t="str">
        <v>BPN-SAS-510T</v>
      </c>
      <c r="B6" s="68">
        <f>LEN(C6)-LEN(SUBSTITUTE(C6,",",""))+1</f>
        <v>1</v>
      </c>
      <c r="C6" s="69" t="str" cm="1">
        <f t="array" ref="C6">_xlfn.TEXTJOIN(", ",,_xlfn._xlws.FILTER([1]___2022___!$E$1:$E$65536,(([1]___2022___!$D$1:$D$65536=$A6)*(ISNUMBER(SEARCH($E$2,[1]___2022___!$K$1:$K$65536)))),"----------"))</f>
        <v>EB227S007580</v>
      </c>
    </row>
    <row r="7" spans="1:11" ht="11.25" customHeight="1">
      <c r="A7" s="68" t="str">
        <v>RSC-RR1U-E16</v>
      </c>
      <c r="B7" s="68">
        <f>LEN(C7)-LEN(SUBSTITUTE(C7,",",""))+1</f>
        <v>1</v>
      </c>
      <c r="C7" s="69" t="str" cm="1">
        <f t="array" ref="C7">_xlfn.TEXTJOIN(", ",,_xlfn._xlws.FILTER([1]___2022___!$E$1:$E$65536,(([1]___2022___!$D$1:$D$65536=$A7)*(ISNUMBER(SEARCH($E$2,[1]___2022___!$K$1:$K$65536)))),"----------"))</f>
        <v>VR219S016076</v>
      </c>
      <c r="E7" t="s">
        <v>3778</v>
      </c>
    </row>
    <row r="8" spans="1:11" ht="11.25" customHeight="1">
      <c r="A8" s="68" t="str">
        <v>MZ7L3480HCHQ-00A07</v>
      </c>
      <c r="B8" s="68">
        <f t="shared" ref="B8:B14" si="1">LEN(C8)-LEN(SUBSTITUTE(C8,",",""))+1</f>
        <v>1</v>
      </c>
      <c r="C8" s="69" t="str" cm="1">
        <f t="array" ref="C8">_xlfn.TEXTJOIN(", ",,_xlfn._xlws.FILTER([1]___2022___!$E$1:$E$65536,(([1]___2022___!$D$1:$D$65536=$A8)*(ISNUMBER(SEARCH($E$2,[1]___2022___!$K$1:$K$65536)))),"----------"))</f>
        <v>S664NE0RC25585</v>
      </c>
    </row>
    <row r="9" spans="1:11" ht="11.25" customHeight="1">
      <c r="A9" s="68" t="str">
        <v>Xeon E2246G</v>
      </c>
      <c r="B9" s="68">
        <f t="shared" si="1"/>
        <v>1</v>
      </c>
      <c r="C9" s="69" t="str" cm="1">
        <f t="array" ref="C9">_xlfn.TEXTJOIN(", ",,_xlfn._xlws.FILTER([1]___2022___!$E$1:$E$65536,(([1]___2022___!$D$1:$D$65536=$A9)*(ISNUMBER(SEARCH($E$2,[1]___2022___!$K$1:$K$65536)))),"----------"))</f>
        <v>X212K767 02557   U2XN436702557</v>
      </c>
      <c r="K9" s="67"/>
    </row>
    <row r="10" spans="1:11" ht="11.25" customHeight="1">
      <c r="A10" s="68"/>
      <c r="B10" s="68">
        <f t="shared" si="1"/>
        <v>1</v>
      </c>
      <c r="C10" s="69" t="str" cm="1">
        <f t="array" ref="C10">_xlfn.TEXTJOIN(", ",,_xlfn._xlws.FILTER([1]___2022___!$E$1:$E$65536,(([1]___2022___!$D$1:$D$65536=$A10)*(ISNUMBER(SEARCH($E$2,[1]___2022___!$K$1:$K$65536)))),"----------"))</f>
        <v>----------</v>
      </c>
    </row>
    <row r="11" spans="1:11" ht="11.25" customHeight="1">
      <c r="A11" s="68"/>
      <c r="B11" s="68">
        <f t="shared" si="1"/>
        <v>1</v>
      </c>
      <c r="C11" s="69" t="str" cm="1">
        <f t="array" ref="C11">_xlfn.TEXTJOIN(", ",,_xlfn._xlws.FILTER([1]___2022___!$E$1:$E$65536,(([1]___2022___!$D$1:$D$65536=$A11)*(ISNUMBER(SEARCH($E$2,[1]___2022___!$K$1:$K$65536)))),"----------"))</f>
        <v>----------</v>
      </c>
    </row>
    <row r="12" spans="1:11" ht="11.25" customHeight="1">
      <c r="A12" s="68"/>
      <c r="B12" s="68">
        <f t="shared" si="1"/>
        <v>1</v>
      </c>
      <c r="C12" s="69" t="str" cm="1">
        <f t="array" ref="C12">_xlfn.TEXTJOIN(", ",,_xlfn._xlws.FILTER([1]___2022___!$E$1:$E$65536,(([1]___2022___!$D$1:$D$65536=$A12)*(ISNUMBER(SEARCH($E$2,[1]___2022___!$K$1:$K$65536)))),"----------"))</f>
        <v>----------</v>
      </c>
    </row>
    <row r="13" spans="1:11" ht="11.25" customHeight="1">
      <c r="A13" s="68"/>
      <c r="B13" s="68">
        <f t="shared" si="1"/>
        <v>1</v>
      </c>
      <c r="C13" s="69" t="str" cm="1">
        <f t="array" ref="C13">_xlfn.TEXTJOIN(", ",,_xlfn._xlws.FILTER([1]___2022___!$E$1:$E$65536,(([1]___2022___!$D$1:$D$65536=$A13)*(ISNUMBER(SEARCH($E$2,[1]___2022___!$K$1:$K$65536)))),"----------"))</f>
        <v>----------</v>
      </c>
    </row>
    <row r="14" spans="1:11" ht="11.25" customHeight="1">
      <c r="A14" s="68"/>
      <c r="B14" s="68">
        <f t="shared" si="1"/>
        <v>1</v>
      </c>
      <c r="C14" s="69" t="str" cm="1">
        <f t="array" ref="C14">_xlfn.TEXTJOIN(", ",,_xlfn._xlws.FILTER([1]___2022___!$E$1:$E$65536,(([1]___2022___!$D$1:$D$65536=$A14)*(ISNUMBER(SEARCH($E$2,[1]___2022___!$K$1:$K$65536)))),"----------"))</f>
        <v>----------</v>
      </c>
      <c r="I14" s="50"/>
      <c r="K14" s="8"/>
    </row>
    <row r="15" spans="1:11" ht="11.25" customHeight="1">
      <c r="B15" s="68">
        <f t="shared" ref="B15:B25" si="2">LEN(C15)-LEN(SUBSTITUTE(C15,",",""))+1</f>
        <v>1</v>
      </c>
      <c r="C15" s="69" t="str" cm="1">
        <f t="array" ref="C15">_xlfn.TEXTJOIN(", ",,_xlfn._xlws.FILTER([1]___2022___!$E$1:$E$65536,(([1]___2022___!$D$1:$D$65536=$A15)*(ISNUMBER(SEARCH($E$2,[1]___2022___!$K$1:$K$65536)))),"----------"))</f>
        <v>----------</v>
      </c>
    </row>
    <row r="16" spans="1:11" ht="11.25" customHeight="1">
      <c r="B16" s="68">
        <f t="shared" si="2"/>
        <v>1</v>
      </c>
      <c r="C16" s="69" t="str" cm="1">
        <f t="array" ref="C16">_xlfn.TEXTJOIN(", ",,_xlfn._xlws.FILTER([1]___2022___!$E$1:$E$65536,(([1]___2022___!$D$1:$D$65536=$A16)*(ISNUMBER(SEARCH($E$2,[1]___2022___!$K$1:$K$65536)))),"----------"))</f>
        <v>----------</v>
      </c>
    </row>
    <row r="17" spans="1:9" ht="11.25" customHeight="1">
      <c r="A17" s="68"/>
      <c r="B17" s="68">
        <f t="shared" si="2"/>
        <v>1</v>
      </c>
      <c r="C17" s="69" t="str" cm="1">
        <f t="array" ref="C17">_xlfn.TEXTJOIN(", ",,_xlfn._xlws.FILTER([1]___2022___!$E$1:$E$65536,(([1]___2022___!$D$1:$D$65536=$A17)*(ISNUMBER(SEARCH($E$2,[1]___2022___!$K$1:$K$65536)))),"----------"))</f>
        <v>----------</v>
      </c>
    </row>
    <row r="18" spans="1:9" ht="11.25" customHeight="1">
      <c r="A18" s="70"/>
      <c r="B18" s="68">
        <f t="shared" si="2"/>
        <v>1</v>
      </c>
      <c r="C18" s="69" t="str" cm="1">
        <f t="array" ref="C18">_xlfn.TEXTJOIN(", ",,_xlfn._xlws.FILTER([1]___2022___!$E$1:$E$65536,(([1]___2022___!$D$1:$D$65536=$A18)*(ISNUMBER(SEARCH($E$2,[1]___2022___!$K$1:$K$65536)))),"----------"))</f>
        <v>----------</v>
      </c>
      <c r="I18" s="7" t="str" cm="1">
        <f t="array" ref="I18">_xlfn.TEXTJOIN(", ",,_xlfn._xlws.FILTER(Tabela1[[#All],[NUMER SERYJNY]],((Tabela1[[#All],[NAZWA]]=$A18)*(Tabela1[[#All],[KOMENTARZ]]=$A13)),"----------"))</f>
        <v/>
      </c>
    </row>
    <row r="19" spans="1:9" ht="11.25" customHeight="1">
      <c r="A19" s="71"/>
      <c r="B19" s="68">
        <f t="shared" si="2"/>
        <v>1</v>
      </c>
      <c r="C19" s="69" t="str" cm="1">
        <f t="array" ref="C19">_xlfn.TEXTJOIN(", ",,_xlfn._xlws.FILTER([1]___2022___!$E$1:$E$65536,(([1]___2022___!$D$1:$D$65536=$A19)*(ISNUMBER(SEARCH($E$2,[1]___2022___!$K$1:$K$65536)))),"----------"))</f>
        <v>----------</v>
      </c>
    </row>
    <row r="20" spans="1:9" ht="11.25" customHeight="1">
      <c r="A20" s="68"/>
      <c r="B20" s="68">
        <f t="shared" si="2"/>
        <v>1</v>
      </c>
      <c r="C20" s="69" t="str" cm="1">
        <f t="array" ref="C20">_xlfn.TEXTJOIN(", ",,_xlfn._xlws.FILTER([1]___2022___!$E$1:$E$65536,(([1]___2022___!$D$1:$D$65536=$A20)*(ISNUMBER(SEARCH($E$2,[1]___2022___!$K$1:$K$65536)))),"----------"))</f>
        <v>----------</v>
      </c>
    </row>
    <row r="21" spans="1:9" ht="11.25" customHeight="1">
      <c r="A21" s="68"/>
      <c r="B21" s="68">
        <f t="shared" si="2"/>
        <v>1</v>
      </c>
      <c r="C21" s="69" t="str" cm="1">
        <f t="array" ref="C21">_xlfn.TEXTJOIN(", ",,_xlfn._xlws.FILTER([1]___2022___!$E$1:$E$65536,(([1]___2022___!$D$1:$D$65536=$A21)*(ISNUMBER(SEARCH($E$2,[1]___2022___!$K$1:$K$65536)))),"----------"))</f>
        <v>----------</v>
      </c>
    </row>
    <row r="22" spans="1:9" ht="11.25" customHeight="1">
      <c r="A22" s="12"/>
      <c r="B22" s="68">
        <f t="shared" si="2"/>
        <v>1</v>
      </c>
      <c r="C22" s="69" t="str" cm="1">
        <f t="array" ref="C22">_xlfn.TEXTJOIN(", ",,_xlfn._xlws.FILTER([1]___2022___!$E$1:$E$65536,(([1]___2022___!$D$1:$D$65536=$A22)*(ISNUMBER(SEARCH($E$2,[1]___2022___!$K$1:$K$65536)))),"----------"))</f>
        <v>----------</v>
      </c>
    </row>
    <row r="23" spans="1:9" ht="11.25" customHeight="1">
      <c r="A23" s="14"/>
      <c r="B23" s="68">
        <f t="shared" si="2"/>
        <v>1</v>
      </c>
      <c r="C23" s="69" t="str" cm="1">
        <f t="array" ref="C23">_xlfn.TEXTJOIN(", ",,_xlfn._xlws.FILTER([1]___2022___!$E$1:$E$65536,(([1]___2022___!$D$1:$D$65536=$A23)*(ISNUMBER(SEARCH($E$2,[1]___2022___!$K$1:$K$65536)))),"----------"))</f>
        <v>----------</v>
      </c>
    </row>
    <row r="24" spans="1:9" ht="11.25" customHeight="1">
      <c r="A24" s="15"/>
      <c r="B24" s="68">
        <f t="shared" si="2"/>
        <v>1</v>
      </c>
      <c r="C24" s="69" t="str" cm="1">
        <f t="array" ref="C24">_xlfn.TEXTJOIN(", ",,_xlfn._xlws.FILTER([1]___2022___!$E$1:$E$65536,(([1]___2022___!$D$1:$D$65536=$A24)*(ISNUMBER(SEARCH($E$2,[1]___2022___!$K$1:$K$65536)))),"----------"))</f>
        <v>----------</v>
      </c>
    </row>
    <row r="25" spans="1:9" ht="11.25" customHeight="1">
      <c r="A25"/>
      <c r="B25" s="68">
        <f t="shared" si="2"/>
        <v>1</v>
      </c>
      <c r="C25" s="69" t="str" cm="1">
        <f t="array" ref="C25">_xlfn.TEXTJOIN(", ",,_xlfn._xlws.FILTER([1]___2022___!$E$1:$E$65536,(([1]___2022___!$D$1:$D$65536=$A25)*(ISNUMBER(SEARCH($E$2,[1]___2022___!$K$1:$K$65536)))),"----------"))</f>
        <v>----------</v>
      </c>
    </row>
    <row r="26" spans="1:9" ht="11.25" customHeight="1">
      <c r="A26"/>
      <c r="B26"/>
    </row>
    <row r="27" spans="1:9" ht="11.25" customHeight="1">
      <c r="A27"/>
      <c r="B27"/>
    </row>
    <row r="28" spans="1:9" ht="11.25" customHeight="1">
      <c r="A28"/>
      <c r="B28"/>
    </row>
    <row r="29" spans="1:9" ht="11.25" customHeight="1">
      <c r="A29"/>
      <c r="B29"/>
    </row>
    <row r="30" spans="1:9" ht="11.25" customHeight="1">
      <c r="A30"/>
      <c r="B30"/>
    </row>
    <row r="31" spans="1:9" ht="11.25" customHeight="1">
      <c r="A31"/>
      <c r="B31"/>
    </row>
    <row r="32" spans="1:9" ht="11.25" customHeight="1">
      <c r="A32"/>
      <c r="B32"/>
    </row>
    <row r="33" spans="1:3" ht="11.25" customHeight="1">
      <c r="A33"/>
      <c r="B33"/>
    </row>
    <row r="34" spans="1:3" ht="11.25" customHeight="1">
      <c r="A34"/>
      <c r="B34"/>
    </row>
    <row r="35" spans="1:3" ht="11.25" customHeight="1">
      <c r="A35"/>
      <c r="B35"/>
    </row>
    <row r="36" spans="1:3" ht="11.25" customHeight="1">
      <c r="A36" s="15"/>
      <c r="B36" s="15"/>
      <c r="C36" s="7"/>
    </row>
    <row r="37" spans="1:3" ht="11.25" customHeight="1">
      <c r="A37" s="15"/>
      <c r="B37" s="15"/>
      <c r="C37" s="7"/>
    </row>
    <row r="38" spans="1:3" ht="11.25" customHeight="1">
      <c r="A38" s="15"/>
      <c r="B38" s="15"/>
      <c r="C38" s="7"/>
    </row>
    <row r="39" spans="1:3" ht="11.25" customHeight="1">
      <c r="A39" s="15"/>
      <c r="B39" s="15"/>
      <c r="C39" s="7"/>
    </row>
    <row r="40" spans="1:3" ht="11.25" customHeight="1">
      <c r="A40" s="15"/>
      <c r="B40" s="15"/>
      <c r="C40" s="7"/>
    </row>
    <row r="41" spans="1:3" ht="11.25" customHeight="1">
      <c r="A41" s="15"/>
      <c r="B41" s="15"/>
      <c r="C41" s="7"/>
    </row>
    <row r="42" spans="1:3" ht="11.25" customHeight="1">
      <c r="A42" s="15"/>
      <c r="B42" s="15"/>
      <c r="C42" s="7"/>
    </row>
    <row r="43" spans="1:3" ht="11.25" customHeight="1">
      <c r="A43" s="15"/>
      <c r="B43" s="15"/>
      <c r="C43" s="7"/>
    </row>
    <row r="44" spans="1:3" ht="11.25" customHeight="1">
      <c r="A44" s="15"/>
      <c r="B44" s="15"/>
      <c r="C44" s="7"/>
    </row>
    <row r="45" spans="1:3" ht="11.25" customHeight="1">
      <c r="A45" s="15"/>
      <c r="B45" s="15"/>
      <c r="C45" s="7"/>
    </row>
    <row r="46" spans="1:3" ht="11.25" customHeight="1">
      <c r="A46" s="15"/>
      <c r="B46" s="15"/>
      <c r="C46" s="7"/>
    </row>
    <row r="47" spans="1:3" ht="11.25" customHeight="1">
      <c r="A47" s="15"/>
      <c r="B47" s="15"/>
      <c r="C47" s="7"/>
    </row>
    <row r="48" spans="1:3" ht="11.25" customHeight="1">
      <c r="A48" s="15"/>
      <c r="B48" s="15"/>
      <c r="C48" s="7"/>
    </row>
    <row r="49" spans="1:3" ht="11.25" customHeight="1">
      <c r="A49" s="15"/>
      <c r="B49" s="15"/>
      <c r="C49" s="7"/>
    </row>
    <row r="50" spans="1:3" ht="11.25" customHeight="1">
      <c r="A50" s="12"/>
      <c r="B50" s="13"/>
      <c r="C50" s="8"/>
    </row>
    <row r="51" spans="1:3" ht="11.25" customHeight="1">
      <c r="A51" s="14"/>
      <c r="B51" s="14"/>
      <c r="C51" s="9"/>
    </row>
    <row r="52" spans="1:3" ht="11.25" customHeight="1">
      <c r="A52" s="15"/>
      <c r="B52" s="15"/>
      <c r="C52" s="7"/>
    </row>
    <row r="53" spans="1:3" ht="11.25" customHeight="1">
      <c r="A53" s="15"/>
      <c r="B53" s="15"/>
      <c r="C53" s="7"/>
    </row>
    <row r="54" spans="1:3" ht="11.25" customHeight="1">
      <c r="A54" s="15"/>
      <c r="B54" s="15"/>
      <c r="C54" s="7"/>
    </row>
    <row r="55" spans="1:3" ht="11.25" customHeight="1">
      <c r="A55" s="15"/>
      <c r="B55" s="15"/>
      <c r="C55" s="7"/>
    </row>
    <row r="56" spans="1:3" ht="11.25" customHeight="1">
      <c r="A56" s="15"/>
      <c r="B56" s="15"/>
      <c r="C56" s="7"/>
    </row>
    <row r="57" spans="1:3" ht="11.25" customHeight="1">
      <c r="A57" s="15"/>
      <c r="B57" s="15"/>
      <c r="C57" s="7"/>
    </row>
    <row r="58" spans="1:3" ht="11.25" customHeight="1">
      <c r="A58" s="15"/>
      <c r="B58" s="15"/>
      <c r="C58" s="7"/>
    </row>
    <row r="59" spans="1:3" ht="11.25" customHeight="1">
      <c r="A59" s="15"/>
      <c r="B59" s="15"/>
      <c r="C59" s="7"/>
    </row>
    <row r="60" spans="1:3" ht="11.25" customHeight="1">
      <c r="A60" s="15"/>
      <c r="B60" s="15"/>
      <c r="C60" s="7"/>
    </row>
    <row r="61" spans="1:3" ht="11.25" customHeight="1">
      <c r="A61" s="15"/>
      <c r="B61" s="15"/>
      <c r="C61" s="7"/>
    </row>
    <row r="62" spans="1:3" ht="11.25" customHeight="1">
      <c r="A62" s="15"/>
      <c r="B62" s="15"/>
      <c r="C62" s="7"/>
    </row>
    <row r="63" spans="1:3" ht="11.25" customHeight="1">
      <c r="A63" s="15"/>
      <c r="B63" s="15"/>
      <c r="C63" s="7"/>
    </row>
    <row r="64" spans="1:3" ht="11.25" customHeight="1">
      <c r="A64" s="15"/>
      <c r="B64" s="15"/>
      <c r="C64" s="7"/>
    </row>
    <row r="65" spans="1:3" ht="11.25" customHeight="1">
      <c r="A65" s="15"/>
      <c r="B65" s="15"/>
      <c r="C65" s="7"/>
    </row>
    <row r="66" spans="1:3" ht="11.25" customHeight="1">
      <c r="A66" s="12"/>
      <c r="B66" s="13"/>
      <c r="C66" s="8"/>
    </row>
    <row r="67" spans="1:3" ht="11.25" customHeight="1">
      <c r="A67" s="14"/>
      <c r="B67" s="14"/>
      <c r="C67" s="9"/>
    </row>
    <row r="68" spans="1:3" ht="11.25" customHeight="1">
      <c r="A68" s="15"/>
      <c r="B68" s="15"/>
      <c r="C68" s="7"/>
    </row>
    <row r="69" spans="1:3" ht="11.25" customHeight="1">
      <c r="A69" s="15"/>
      <c r="B69" s="15"/>
      <c r="C69" s="7"/>
    </row>
    <row r="70" spans="1:3" ht="11.25" customHeight="1">
      <c r="A70" s="15"/>
      <c r="B70" s="15"/>
      <c r="C70" s="7"/>
    </row>
    <row r="71" spans="1:3" ht="11.25" customHeight="1">
      <c r="A71" s="15"/>
      <c r="B71" s="15"/>
      <c r="C71" s="7"/>
    </row>
    <row r="72" spans="1:3" ht="11.25" customHeight="1">
      <c r="A72" s="15"/>
      <c r="B72" s="15"/>
      <c r="C72" s="7"/>
    </row>
    <row r="73" spans="1:3" ht="11.25" customHeight="1">
      <c r="A73" s="15"/>
      <c r="B73" s="15"/>
      <c r="C73" s="7"/>
    </row>
    <row r="74" spans="1:3" ht="11.25" customHeight="1">
      <c r="A74" s="15"/>
      <c r="B74" s="15"/>
      <c r="C74" s="7"/>
    </row>
    <row r="75" spans="1:3" ht="11.25" customHeight="1">
      <c r="A75" s="15"/>
      <c r="B75" s="15"/>
      <c r="C75" s="7"/>
    </row>
    <row r="76" spans="1:3" ht="11.25" customHeight="1">
      <c r="A76" s="15"/>
      <c r="B76" s="15"/>
      <c r="C76" s="7"/>
    </row>
    <row r="77" spans="1:3" ht="11.25" customHeight="1">
      <c r="A77" s="15"/>
      <c r="B77" s="15"/>
      <c r="C77" s="7"/>
    </row>
    <row r="78" spans="1:3" ht="11.25" customHeight="1">
      <c r="A78" s="15"/>
      <c r="B78" s="15"/>
      <c r="C78" s="7"/>
    </row>
    <row r="79" spans="1:3" ht="11.25" customHeight="1">
      <c r="A79" s="15"/>
      <c r="B79" s="15"/>
      <c r="C79" s="7"/>
    </row>
    <row r="80" spans="1:3" ht="11.25" customHeight="1">
      <c r="A80" s="15"/>
      <c r="B80" s="15"/>
      <c r="C80" s="7"/>
    </row>
    <row r="81" spans="1:3" ht="11.25" customHeight="1">
      <c r="A81" s="15"/>
      <c r="B81" s="15"/>
      <c r="C81" s="7"/>
    </row>
    <row r="82" spans="1:3" ht="11.25" customHeight="1">
      <c r="A82" s="12"/>
      <c r="B82" s="13"/>
      <c r="C82" s="8"/>
    </row>
    <row r="83" spans="1:3" ht="11.25" customHeight="1">
      <c r="A83" s="14"/>
      <c r="B83" s="14"/>
      <c r="C83" s="9"/>
    </row>
    <row r="84" spans="1:3" ht="11.25" customHeight="1">
      <c r="A84" s="15"/>
      <c r="B84" s="15"/>
      <c r="C84" s="7"/>
    </row>
    <row r="85" spans="1:3" ht="11.25" customHeight="1">
      <c r="A85" s="15"/>
      <c r="B85" s="15"/>
      <c r="C85" s="7"/>
    </row>
    <row r="86" spans="1:3" ht="11.25" customHeight="1">
      <c r="A86" s="15"/>
      <c r="B86" s="15"/>
      <c r="C86" s="7"/>
    </row>
    <row r="87" spans="1:3" ht="11.25" customHeight="1">
      <c r="A87" s="15"/>
      <c r="B87" s="15"/>
      <c r="C87" s="7"/>
    </row>
    <row r="88" spans="1:3" ht="11.25" customHeight="1">
      <c r="A88" s="15"/>
      <c r="B88" s="15"/>
      <c r="C88" s="7"/>
    </row>
    <row r="89" spans="1:3" ht="11.25" customHeight="1">
      <c r="A89" s="15"/>
      <c r="B89" s="15"/>
      <c r="C89" s="7"/>
    </row>
    <row r="90" spans="1:3" ht="11.25" customHeight="1">
      <c r="A90" s="15"/>
      <c r="B90" s="15"/>
      <c r="C90" s="7"/>
    </row>
    <row r="91" spans="1:3" ht="11.25" customHeight="1">
      <c r="A91" s="15"/>
      <c r="B91" s="15"/>
      <c r="C91" s="7"/>
    </row>
    <row r="92" spans="1:3" ht="11.25" customHeight="1">
      <c r="A92" s="15"/>
      <c r="B92" s="15"/>
      <c r="C92" s="7"/>
    </row>
    <row r="93" spans="1:3" ht="11.25" customHeight="1">
      <c r="A93" s="15"/>
      <c r="B93" s="15"/>
      <c r="C93" s="7"/>
    </row>
    <row r="94" spans="1:3" ht="11.25" customHeight="1">
      <c r="A94" s="15"/>
      <c r="B94" s="15"/>
      <c r="C94" s="7"/>
    </row>
    <row r="95" spans="1:3" ht="11.25" customHeight="1">
      <c r="A95" s="15"/>
      <c r="B95" s="15"/>
      <c r="C95" s="7"/>
    </row>
    <row r="96" spans="1:3" ht="11.25" customHeight="1">
      <c r="A96" s="15"/>
      <c r="B96" s="15"/>
      <c r="C96" s="7"/>
    </row>
    <row r="97" spans="1:3" ht="11.25" customHeight="1">
      <c r="A97" s="15"/>
      <c r="B97" s="15"/>
      <c r="C97" s="7"/>
    </row>
    <row r="98" spans="1:3" ht="11.25" customHeight="1">
      <c r="A98" s="15"/>
      <c r="B98" s="15"/>
      <c r="C98" s="7"/>
    </row>
    <row r="99" spans="1:3" ht="11.25" customHeight="1">
      <c r="A99" s="12"/>
      <c r="B99" s="13"/>
      <c r="C99" s="8"/>
    </row>
    <row r="100" spans="1:3" ht="11.25" customHeight="1">
      <c r="A100" s="14"/>
      <c r="B100" s="14"/>
      <c r="C100" s="9"/>
    </row>
    <row r="101" spans="1:3" ht="11.25" customHeight="1">
      <c r="A101" s="15"/>
      <c r="B101" s="15"/>
      <c r="C101" s="7"/>
    </row>
    <row r="102" spans="1:3" ht="11.25" customHeight="1">
      <c r="A102" s="15"/>
      <c r="B102" s="15"/>
      <c r="C102" s="7"/>
    </row>
    <row r="103" spans="1:3" ht="11.25" customHeight="1">
      <c r="A103" s="15"/>
      <c r="B103" s="15"/>
      <c r="C103" s="7"/>
    </row>
    <row r="104" spans="1:3" ht="11.25" customHeight="1">
      <c r="A104" s="15"/>
      <c r="B104" s="15"/>
      <c r="C104" s="7"/>
    </row>
    <row r="105" spans="1:3" ht="11.25" customHeight="1">
      <c r="A105" s="15"/>
      <c r="B105" s="15"/>
      <c r="C105" s="7"/>
    </row>
    <row r="106" spans="1:3" ht="11.25" customHeight="1">
      <c r="A106" s="15"/>
      <c r="B106" s="15"/>
      <c r="C106" s="7"/>
    </row>
    <row r="107" spans="1:3" ht="11.25" customHeight="1">
      <c r="A107" s="15"/>
      <c r="B107" s="15"/>
      <c r="C107" s="7"/>
    </row>
    <row r="108" spans="1:3" ht="11.25" customHeight="1">
      <c r="A108" s="15"/>
      <c r="B108" s="15"/>
      <c r="C108" s="7"/>
    </row>
    <row r="109" spans="1:3" ht="11.25" customHeight="1">
      <c r="A109" s="15"/>
      <c r="B109" s="15"/>
      <c r="C109" s="7"/>
    </row>
    <row r="110" spans="1:3" ht="11.25" customHeight="1">
      <c r="A110" s="15"/>
      <c r="B110" s="15"/>
      <c r="C110" s="7"/>
    </row>
    <row r="111" spans="1:3" ht="11.25" customHeight="1">
      <c r="A111" s="15"/>
      <c r="B111" s="15"/>
      <c r="C111" s="7"/>
    </row>
    <row r="112" spans="1:3" ht="11.25" customHeight="1">
      <c r="A112" s="15"/>
      <c r="B112" s="15"/>
      <c r="C112" s="7"/>
    </row>
    <row r="113" spans="1:3" ht="11.25" customHeight="1">
      <c r="A113" s="15"/>
      <c r="B113" s="15"/>
      <c r="C113" s="7"/>
    </row>
    <row r="115" spans="1:3" ht="11.25" customHeight="1">
      <c r="A115" s="12"/>
      <c r="B115" s="13"/>
      <c r="C115" s="8"/>
    </row>
    <row r="116" spans="1:3" ht="11.25" customHeight="1">
      <c r="A116" s="14"/>
      <c r="B116" s="14"/>
      <c r="C116" s="9"/>
    </row>
    <row r="117" spans="1:3" ht="11.25" customHeight="1">
      <c r="A117" s="15"/>
      <c r="B117" s="15"/>
      <c r="C117" s="7"/>
    </row>
    <row r="118" spans="1:3" ht="11.25" customHeight="1">
      <c r="A118" s="15"/>
      <c r="B118" s="15"/>
      <c r="C118" s="7"/>
    </row>
    <row r="119" spans="1:3" ht="11.25" customHeight="1">
      <c r="A119" s="15"/>
      <c r="B119" s="15"/>
      <c r="C119" s="7"/>
    </row>
    <row r="120" spans="1:3" ht="11.25" customHeight="1">
      <c r="A120" s="15"/>
      <c r="B120" s="15"/>
      <c r="C120" s="7"/>
    </row>
    <row r="121" spans="1:3" ht="11.25" customHeight="1">
      <c r="A121" s="15"/>
      <c r="B121" s="15"/>
      <c r="C121" s="7"/>
    </row>
    <row r="122" spans="1:3" ht="11.25" customHeight="1">
      <c r="A122" s="15"/>
      <c r="B122" s="15"/>
      <c r="C122" s="7"/>
    </row>
    <row r="123" spans="1:3" ht="11.25" customHeight="1">
      <c r="A123" s="15"/>
      <c r="B123" s="15"/>
      <c r="C123" s="7"/>
    </row>
    <row r="124" spans="1:3" ht="11.25" customHeight="1">
      <c r="A124" s="15"/>
      <c r="B124" s="15"/>
      <c r="C124" s="7"/>
    </row>
    <row r="125" spans="1:3" ht="11.25" customHeight="1">
      <c r="A125" s="15"/>
      <c r="B125" s="15"/>
      <c r="C125" s="7"/>
    </row>
    <row r="126" spans="1:3" ht="11.25" customHeight="1">
      <c r="A126" s="15"/>
      <c r="B126" s="15"/>
      <c r="C126" s="7"/>
    </row>
    <row r="127" spans="1:3" ht="11.25" customHeight="1">
      <c r="A127" s="15"/>
      <c r="B127" s="15"/>
      <c r="C127" s="7"/>
    </row>
    <row r="128" spans="1:3" ht="11.25" customHeight="1">
      <c r="A128" s="15"/>
      <c r="B128" s="15"/>
      <c r="C128" s="7"/>
    </row>
    <row r="129" spans="1:3" ht="11.25" customHeight="1">
      <c r="A129" s="15"/>
      <c r="B129" s="15"/>
      <c r="C129" s="7"/>
    </row>
    <row r="131" spans="1:3" ht="11.25" customHeight="1">
      <c r="A131" s="12"/>
      <c r="B131" s="13"/>
      <c r="C131" s="8"/>
    </row>
    <row r="132" spans="1:3" ht="11.25" customHeight="1">
      <c r="A132" s="14"/>
      <c r="B132" s="14"/>
      <c r="C132" s="9"/>
    </row>
    <row r="133" spans="1:3" ht="11.25" customHeight="1">
      <c r="A133" s="15"/>
      <c r="B133" s="15"/>
      <c r="C133" s="7"/>
    </row>
    <row r="134" spans="1:3" ht="11.25" customHeight="1">
      <c r="A134" s="15"/>
      <c r="B134" s="15"/>
      <c r="C134" s="7"/>
    </row>
    <row r="135" spans="1:3" ht="11.25" customHeight="1">
      <c r="A135" s="15"/>
      <c r="B135" s="15"/>
      <c r="C135" s="7"/>
    </row>
    <row r="136" spans="1:3" ht="11.25" customHeight="1">
      <c r="A136" s="15"/>
      <c r="B136" s="15"/>
      <c r="C136" s="7"/>
    </row>
    <row r="137" spans="1:3" ht="11.25" customHeight="1">
      <c r="A137" s="15"/>
      <c r="B137" s="15"/>
      <c r="C137" s="7"/>
    </row>
    <row r="138" spans="1:3" ht="11.25" customHeight="1">
      <c r="A138" s="15"/>
      <c r="B138" s="15"/>
      <c r="C138" s="7"/>
    </row>
    <row r="139" spans="1:3" ht="11.25" customHeight="1">
      <c r="A139" s="15"/>
      <c r="B139" s="15"/>
      <c r="C139" s="7"/>
    </row>
    <row r="140" spans="1:3" ht="11.25" customHeight="1">
      <c r="A140" s="15"/>
      <c r="B140" s="15"/>
      <c r="C140" s="7"/>
    </row>
    <row r="141" spans="1:3" ht="11.25" customHeight="1">
      <c r="A141" s="15"/>
      <c r="B141" s="15"/>
      <c r="C141" s="7"/>
    </row>
    <row r="142" spans="1:3" ht="11.25" customHeight="1">
      <c r="A142" s="15"/>
      <c r="B142" s="15"/>
      <c r="C142" s="7"/>
    </row>
    <row r="143" spans="1:3" ht="11.25" customHeight="1">
      <c r="A143" s="15"/>
      <c r="B143" s="15"/>
      <c r="C143" s="7"/>
    </row>
    <row r="144" spans="1:3" ht="11.25" customHeight="1">
      <c r="A144" s="15"/>
      <c r="B144" s="15"/>
      <c r="C144" s="7"/>
    </row>
    <row r="145" spans="1:3" ht="11.25" customHeight="1">
      <c r="A145" s="15"/>
      <c r="B145" s="15"/>
      <c r="C145" s="7"/>
    </row>
    <row r="147" spans="1:3" ht="11.25" customHeight="1">
      <c r="A147" s="12"/>
      <c r="B147" s="13"/>
      <c r="C147" s="8"/>
    </row>
    <row r="148" spans="1:3" ht="11.25" customHeight="1">
      <c r="A148" s="14"/>
      <c r="B148" s="14"/>
      <c r="C148" s="9"/>
    </row>
    <row r="149" spans="1:3" ht="11.25" customHeight="1">
      <c r="A149" s="15"/>
      <c r="B149" s="15"/>
      <c r="C149" s="7"/>
    </row>
    <row r="150" spans="1:3" ht="11.25" customHeight="1">
      <c r="A150" s="15"/>
      <c r="B150" s="15"/>
      <c r="C150" s="7"/>
    </row>
    <row r="151" spans="1:3" ht="11.25" customHeight="1">
      <c r="A151" s="15"/>
      <c r="B151" s="15"/>
      <c r="C151" s="7"/>
    </row>
    <row r="152" spans="1:3" ht="11.25" customHeight="1">
      <c r="A152" s="15"/>
      <c r="B152" s="15"/>
      <c r="C152" s="7"/>
    </row>
    <row r="153" spans="1:3" ht="11.25" customHeight="1">
      <c r="A153" s="15"/>
      <c r="B153" s="15"/>
      <c r="C153" s="7"/>
    </row>
    <row r="154" spans="1:3" ht="11.25" customHeight="1">
      <c r="A154" s="15"/>
      <c r="B154" s="15"/>
      <c r="C154" s="7"/>
    </row>
    <row r="155" spans="1:3" ht="11.25" customHeight="1">
      <c r="A155" s="15"/>
      <c r="B155" s="15"/>
      <c r="C155" s="7"/>
    </row>
    <row r="156" spans="1:3" ht="11.25" customHeight="1">
      <c r="A156" s="15"/>
      <c r="B156" s="15"/>
      <c r="C156" s="7"/>
    </row>
    <row r="157" spans="1:3" ht="11.25" customHeight="1">
      <c r="A157" s="15"/>
      <c r="B157" s="15"/>
      <c r="C157" s="7"/>
    </row>
    <row r="158" spans="1:3" ht="11.25" customHeight="1">
      <c r="A158" s="15"/>
      <c r="B158" s="15"/>
      <c r="C158" s="7"/>
    </row>
    <row r="159" spans="1:3" ht="11.25" customHeight="1">
      <c r="A159" s="15"/>
      <c r="B159" s="15"/>
      <c r="C159" s="7"/>
    </row>
    <row r="160" spans="1:3" ht="11.25" customHeight="1">
      <c r="A160" s="15"/>
      <c r="B160" s="15"/>
      <c r="C160" s="7"/>
    </row>
    <row r="161" spans="1:3" ht="11.25" customHeight="1">
      <c r="A161" s="15"/>
      <c r="B161" s="15"/>
      <c r="C161" s="7"/>
    </row>
    <row r="163" spans="1:3" ht="11.25" customHeight="1">
      <c r="A163" s="12"/>
      <c r="B163" s="13"/>
      <c r="C163" s="8"/>
    </row>
    <row r="164" spans="1:3" ht="11.25" customHeight="1">
      <c r="A164" s="14"/>
      <c r="B164" s="14"/>
      <c r="C164" s="9"/>
    </row>
    <row r="165" spans="1:3" ht="11.25" customHeight="1">
      <c r="A165" s="15"/>
      <c r="B165" s="15"/>
      <c r="C165" s="7"/>
    </row>
    <row r="166" spans="1:3" ht="11.25" customHeight="1">
      <c r="A166" s="15"/>
      <c r="B166" s="15"/>
      <c r="C166" s="7"/>
    </row>
    <row r="167" spans="1:3" ht="11.25" customHeight="1">
      <c r="A167" s="15"/>
      <c r="B167" s="15"/>
      <c r="C167" s="7"/>
    </row>
    <row r="168" spans="1:3" ht="11.25" customHeight="1">
      <c r="A168" s="15"/>
      <c r="B168" s="15"/>
      <c r="C168" s="7"/>
    </row>
    <row r="169" spans="1:3" ht="11.25" customHeight="1">
      <c r="A169" s="15"/>
      <c r="B169" s="15"/>
      <c r="C169" s="7"/>
    </row>
    <row r="170" spans="1:3" ht="11.25" customHeight="1">
      <c r="A170" s="15"/>
      <c r="B170" s="15"/>
      <c r="C170" s="7"/>
    </row>
    <row r="171" spans="1:3" ht="11.25" customHeight="1">
      <c r="A171" s="15"/>
      <c r="B171" s="15"/>
      <c r="C171" s="7"/>
    </row>
    <row r="172" spans="1:3" ht="11.25" customHeight="1">
      <c r="A172" s="15"/>
      <c r="B172" s="15"/>
      <c r="C172" s="7"/>
    </row>
    <row r="173" spans="1:3" ht="11.25" customHeight="1">
      <c r="A173" s="15"/>
      <c r="B173" s="15"/>
      <c r="C173" s="7"/>
    </row>
    <row r="174" spans="1:3" ht="11.25" customHeight="1">
      <c r="A174" s="15"/>
      <c r="B174" s="15"/>
      <c r="C174" s="7"/>
    </row>
    <row r="175" spans="1:3" ht="11.25" customHeight="1">
      <c r="A175" s="15"/>
      <c r="B175" s="15"/>
      <c r="C175" s="7"/>
    </row>
    <row r="176" spans="1:3" ht="11.25" customHeight="1">
      <c r="A176" s="15"/>
      <c r="B176" s="15"/>
      <c r="C176" s="7"/>
    </row>
    <row r="177" spans="1:3" ht="11.25" customHeight="1">
      <c r="A177" s="15"/>
      <c r="B177" s="15"/>
      <c r="C177" s="7"/>
    </row>
    <row r="180" spans="1:3" ht="11.25" customHeight="1">
      <c r="A180" s="12"/>
      <c r="B180" s="13"/>
      <c r="C180" s="8"/>
    </row>
    <row r="181" spans="1:3" ht="11.25" customHeight="1">
      <c r="A181" s="14"/>
      <c r="B181" s="14"/>
      <c r="C181" s="9"/>
    </row>
    <row r="182" spans="1:3" ht="11.25" customHeight="1">
      <c r="A182" s="15"/>
      <c r="B182" s="15"/>
      <c r="C182" s="7"/>
    </row>
    <row r="183" spans="1:3" ht="11.25" customHeight="1">
      <c r="A183" s="15"/>
      <c r="B183" s="15"/>
      <c r="C183" s="7"/>
    </row>
    <row r="184" spans="1:3" ht="11.25" customHeight="1">
      <c r="A184" s="15"/>
      <c r="B184" s="15"/>
      <c r="C184" s="7"/>
    </row>
    <row r="185" spans="1:3" ht="11.25" customHeight="1">
      <c r="A185" s="15"/>
      <c r="B185" s="15"/>
      <c r="C185" s="7"/>
    </row>
    <row r="186" spans="1:3" ht="11.25" customHeight="1">
      <c r="A186" s="15"/>
      <c r="B186" s="15"/>
      <c r="C186" s="7"/>
    </row>
    <row r="187" spans="1:3" ht="11.25" customHeight="1">
      <c r="A187" s="15"/>
      <c r="B187" s="15"/>
      <c r="C187" s="7"/>
    </row>
    <row r="188" spans="1:3" ht="11.25" customHeight="1">
      <c r="A188" s="15"/>
      <c r="B188" s="15"/>
      <c r="C188" s="7"/>
    </row>
    <row r="189" spans="1:3" ht="11.25" customHeight="1">
      <c r="A189" s="15"/>
      <c r="B189" s="15"/>
      <c r="C189" s="7"/>
    </row>
    <row r="190" spans="1:3" ht="11.25" customHeight="1">
      <c r="A190" s="15"/>
      <c r="B190" s="15"/>
      <c r="C190" s="7"/>
    </row>
    <row r="191" spans="1:3" ht="11.25" customHeight="1">
      <c r="A191" s="15"/>
      <c r="B191" s="15"/>
      <c r="C191" s="7"/>
    </row>
    <row r="192" spans="1:3" ht="11.25" customHeight="1">
      <c r="A192" s="15"/>
      <c r="B192" s="15"/>
      <c r="C192" s="7"/>
    </row>
    <row r="193" spans="1:3" ht="11.25" customHeight="1">
      <c r="A193" s="15"/>
      <c r="B193" s="15"/>
      <c r="C193" s="7"/>
    </row>
    <row r="194" spans="1:3" ht="11.25" customHeight="1">
      <c r="A194" s="15"/>
      <c r="B194" s="15"/>
      <c r="C194" s="7"/>
    </row>
    <row r="196" spans="1:3" ht="11.25" customHeight="1">
      <c r="A196" s="12"/>
      <c r="B196" s="13"/>
      <c r="C196" s="8"/>
    </row>
    <row r="197" spans="1:3" ht="11.25" customHeight="1">
      <c r="A197" s="14"/>
      <c r="B197" s="14"/>
      <c r="C197" s="9"/>
    </row>
    <row r="198" spans="1:3" ht="11.25" customHeight="1">
      <c r="A198" s="15"/>
      <c r="B198" s="15"/>
      <c r="C198" s="7"/>
    </row>
    <row r="199" spans="1:3" ht="11.25" customHeight="1">
      <c r="A199" s="15"/>
      <c r="B199" s="15"/>
      <c r="C199" s="7"/>
    </row>
    <row r="200" spans="1:3" ht="11.25" customHeight="1">
      <c r="A200" s="15"/>
      <c r="B200" s="15"/>
      <c r="C200" s="7"/>
    </row>
    <row r="201" spans="1:3" ht="11.25" customHeight="1">
      <c r="A201" s="15"/>
      <c r="B201" s="15"/>
      <c r="C201" s="7"/>
    </row>
    <row r="202" spans="1:3" ht="11.25" customHeight="1">
      <c r="A202" s="15"/>
      <c r="B202" s="15"/>
      <c r="C202" s="7"/>
    </row>
    <row r="203" spans="1:3" ht="11.25" customHeight="1">
      <c r="A203" s="15"/>
      <c r="B203" s="15"/>
      <c r="C203" s="7"/>
    </row>
    <row r="204" spans="1:3" ht="11.25" customHeight="1">
      <c r="A204" s="15"/>
      <c r="B204" s="15"/>
      <c r="C204" s="7"/>
    </row>
    <row r="205" spans="1:3" ht="11.25" customHeight="1">
      <c r="A205" s="15"/>
      <c r="B205" s="15"/>
      <c r="C205" s="7"/>
    </row>
    <row r="206" spans="1:3" ht="11.25" customHeight="1">
      <c r="A206" s="15"/>
      <c r="B206" s="15"/>
      <c r="C206" s="7"/>
    </row>
    <row r="207" spans="1:3" ht="11.25" customHeight="1">
      <c r="A207" s="15"/>
      <c r="B207" s="15"/>
      <c r="C207" s="7"/>
    </row>
    <row r="208" spans="1:3" ht="11.25" customHeight="1">
      <c r="A208" s="15"/>
      <c r="B208" s="15"/>
      <c r="C208" s="7"/>
    </row>
    <row r="209" spans="1:3" ht="11.25" customHeight="1">
      <c r="A209" s="15"/>
      <c r="B209" s="15"/>
      <c r="C209" s="7"/>
    </row>
    <row r="210" spans="1:3" ht="11.25" customHeight="1">
      <c r="A210" s="15"/>
      <c r="B210" s="15"/>
      <c r="C210" s="7"/>
    </row>
  </sheetData>
  <conditionalFormatting sqref="F3">
    <cfRule type="duplicateValues" dxfId="602" priority="35"/>
  </conditionalFormatting>
  <conditionalFormatting sqref="C49">
    <cfRule type="duplicateValues" dxfId="601" priority="33"/>
  </conditionalFormatting>
  <conditionalFormatting sqref="C65">
    <cfRule type="duplicateValues" dxfId="600" priority="32"/>
  </conditionalFormatting>
  <conditionalFormatting sqref="C81">
    <cfRule type="duplicateValues" dxfId="599" priority="31"/>
  </conditionalFormatting>
  <conditionalFormatting sqref="C97:C98">
    <cfRule type="duplicateValues" dxfId="598" priority="30"/>
  </conditionalFormatting>
  <conditionalFormatting sqref="C46:C48">
    <cfRule type="duplicateValues" dxfId="596" priority="28"/>
  </conditionalFormatting>
  <conditionalFormatting sqref="C50 C62:C64">
    <cfRule type="duplicateValues" dxfId="595" priority="27"/>
  </conditionalFormatting>
  <conditionalFormatting sqref="C66 C78:C80">
    <cfRule type="duplicateValues" dxfId="594" priority="26"/>
  </conditionalFormatting>
  <conditionalFormatting sqref="C82 C94:C96">
    <cfRule type="duplicateValues" dxfId="593" priority="25"/>
  </conditionalFormatting>
  <conditionalFormatting sqref="C99">
    <cfRule type="duplicateValues" dxfId="592" priority="24"/>
  </conditionalFormatting>
  <conditionalFormatting sqref="C115">
    <cfRule type="duplicateValues" dxfId="591" priority="23"/>
  </conditionalFormatting>
  <conditionalFormatting sqref="C131">
    <cfRule type="duplicateValues" dxfId="590" priority="22"/>
  </conditionalFormatting>
  <conditionalFormatting sqref="C147 C158:C161">
    <cfRule type="duplicateValues" dxfId="589" priority="21"/>
  </conditionalFormatting>
  <conditionalFormatting sqref="C163 C174:C177">
    <cfRule type="duplicateValues" dxfId="588" priority="20"/>
  </conditionalFormatting>
  <conditionalFormatting sqref="C180 C191:C194">
    <cfRule type="duplicateValues" dxfId="587" priority="19"/>
  </conditionalFormatting>
  <conditionalFormatting sqref="C196 C207:C210">
    <cfRule type="duplicateValues" dxfId="586" priority="18"/>
  </conditionalFormatting>
  <conditionalFormatting sqref="C37:C45">
    <cfRule type="duplicateValues" dxfId="584" priority="16"/>
  </conditionalFormatting>
  <conditionalFormatting sqref="C51:C61">
    <cfRule type="duplicateValues" dxfId="583" priority="15"/>
  </conditionalFormatting>
  <conditionalFormatting sqref="C67:C77">
    <cfRule type="duplicateValues" dxfId="582" priority="14"/>
  </conditionalFormatting>
  <conditionalFormatting sqref="C83:C93">
    <cfRule type="duplicateValues" dxfId="581" priority="13"/>
  </conditionalFormatting>
  <conditionalFormatting sqref="C100:C109">
    <cfRule type="duplicateValues" dxfId="580" priority="12"/>
  </conditionalFormatting>
  <conditionalFormatting sqref="C116:C125">
    <cfRule type="duplicateValues" dxfId="579" priority="11"/>
  </conditionalFormatting>
  <conditionalFormatting sqref="C132:C141">
    <cfRule type="duplicateValues" dxfId="578" priority="10"/>
  </conditionalFormatting>
  <conditionalFormatting sqref="C148:C157">
    <cfRule type="duplicateValues" dxfId="577" priority="9"/>
  </conditionalFormatting>
  <conditionalFormatting sqref="C164:C173">
    <cfRule type="duplicateValues" dxfId="576" priority="8"/>
  </conditionalFormatting>
  <conditionalFormatting sqref="C181:C190">
    <cfRule type="duplicateValues" dxfId="575" priority="7"/>
  </conditionalFormatting>
  <conditionalFormatting sqref="C197:C206">
    <cfRule type="duplicateValues" dxfId="574" priority="6"/>
  </conditionalFormatting>
  <conditionalFormatting sqref="C142:C145">
    <cfRule type="duplicateValues" dxfId="573" priority="5"/>
  </conditionalFormatting>
  <conditionalFormatting sqref="C126:C129">
    <cfRule type="duplicateValues" dxfId="572" priority="4"/>
  </conditionalFormatting>
  <conditionalFormatting sqref="C110:C113">
    <cfRule type="duplicateValues" dxfId="571" priority="3"/>
  </conditionalFormatting>
  <conditionalFormatting sqref="C36">
    <cfRule type="duplicateValues" dxfId="570" priority="2"/>
  </conditionalFormatting>
  <conditionalFormatting sqref="I18">
    <cfRule type="duplicateValues" dxfId="569" priority="1"/>
  </conditionalFormatting>
  <conditionalFormatting sqref="G1:G2 C114 C130 C146 C162 C178:C179 C195 C211:C1048576 C1:C25">
    <cfRule type="duplicateValues" dxfId="568" priority="6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etykieta">
                <anchor moveWithCells="1" sizeWithCells="1">
                  <from>
                    <xdr:col>4</xdr:col>
                    <xdr:colOff>47625</xdr:colOff>
                    <xdr:row>20</xdr:row>
                    <xdr:rowOff>38100</xdr:rowOff>
                  </from>
                  <to>
                    <xdr:col>5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produkcja">
                <anchor moveWithCells="1" sizeWithCells="1">
                  <from>
                    <xdr:col>8</xdr:col>
                    <xdr:colOff>1704975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drukuj">
                <anchor moveWithCells="1" sizeWithCells="1">
                  <from>
                    <xdr:col>4</xdr:col>
                    <xdr:colOff>66675</xdr:colOff>
                    <xdr:row>26</xdr:row>
                    <xdr:rowOff>114300</xdr:rowOff>
                  </from>
                  <to>
                    <xdr:col>4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workbookViewId="0">
      <selection activeCell="E24" sqref="E24"/>
    </sheetView>
  </sheetViews>
  <sheetFormatPr defaultRowHeight="21.75"/>
  <cols>
    <col min="1" max="1" width="1.42578125" customWidth="1"/>
    <col min="2" max="2" width="14.28515625" style="56" customWidth="1"/>
    <col min="3" max="3" width="32.85546875" style="59" customWidth="1"/>
    <col min="4" max="4" width="30.85546875" customWidth="1"/>
    <col min="5" max="5" width="32.85546875" customWidth="1"/>
    <col min="6" max="6" width="34" customWidth="1"/>
    <col min="7" max="7" width="40.140625" style="56" customWidth="1"/>
    <col min="8" max="8" width="29.7109375" style="56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3" t="s">
        <v>3770</v>
      </c>
      <c r="B1" s="74"/>
      <c r="C1" s="51" t="s">
        <v>3771</v>
      </c>
    </row>
    <row r="2" spans="1:10" ht="15" customHeight="1">
      <c r="A2" s="75" t="s">
        <v>3772</v>
      </c>
      <c r="B2" s="76"/>
      <c r="C2" s="82" t="str">
        <f>"COMETA "&amp;F4</f>
        <v>COMETA RS1102V6_071200/2022</v>
      </c>
      <c r="D2" s="8"/>
    </row>
    <row r="3" spans="1:10" ht="15" customHeight="1" thickBot="1">
      <c r="A3" s="77"/>
      <c r="B3" s="78"/>
      <c r="C3" s="83" t="str">
        <f>"("&amp;F4&amp;")"</f>
        <v>(RS1102V6_071200/2022)</v>
      </c>
      <c r="D3" s="8"/>
    </row>
    <row r="4" spans="1:10" ht="48.75" customHeight="1" thickBot="1">
      <c r="A4" s="79" t="str">
        <f>"("&amp;F6&amp;")"</f>
        <v>(A345069X2721201)</v>
      </c>
      <c r="B4" s="80"/>
      <c r="C4" s="81"/>
      <c r="D4" s="9"/>
      <c r="E4" t="s">
        <v>3773</v>
      </c>
      <c r="F4" t="s">
        <v>3777</v>
      </c>
    </row>
    <row r="5" spans="1:10" ht="3.75" customHeight="1">
      <c r="A5" s="52"/>
      <c r="B5" s="52"/>
      <c r="C5" s="53"/>
      <c r="D5" s="9"/>
    </row>
    <row r="6" spans="1:10" ht="17.25" customHeight="1">
      <c r="B6" s="54" t="str" cm="1">
        <f t="array" ref="B6:C15">_xlfn._xlws.FILTER([1]___2022___!$D$1:$E$65536,ISNUMBER(SEARCH(TEST!E2,[1]___2022___!$K$1:$K$65536)))</f>
        <v>MEM-DR490L-HL01-EU26</v>
      </c>
      <c r="C6" s="55" t="str">
        <v>80AD01215075427B0A</v>
      </c>
      <c r="D6" s="7"/>
      <c r="E6" t="s">
        <v>3774</v>
      </c>
      <c r="F6" s="61" t="s">
        <v>3537</v>
      </c>
    </row>
    <row r="7" spans="1:10" ht="17.25" customHeight="1">
      <c r="B7" s="54" t="str">
        <v>MEM-DR490L-HL01-EU26</v>
      </c>
      <c r="C7" s="55" t="str">
        <v>80AD01215075427BBF</v>
      </c>
      <c r="D7" s="7"/>
    </row>
    <row r="8" spans="1:10" ht="17.25" customHeight="1">
      <c r="B8" s="54" t="str">
        <v>SYS-1019C-HTN2</v>
      </c>
      <c r="C8" s="55" t="str">
        <v>A345069X2721201</v>
      </c>
      <c r="D8" s="7"/>
      <c r="G8" s="56" t="s">
        <v>3775</v>
      </c>
      <c r="H8" s="56" t="s">
        <v>3776</v>
      </c>
    </row>
    <row r="9" spans="1:10" ht="17.25" customHeight="1">
      <c r="B9" s="54" t="str">
        <v>CSE-510FT-203B</v>
      </c>
      <c r="C9" s="55" t="str">
        <v>C5100LL25RA0474</v>
      </c>
      <c r="D9" s="7"/>
      <c r="G9" s="56" t="str" cm="1">
        <f t="array" ref="G9:H18">_xlfn._xlws.FILTER([1]___2022___!$D$1:$E$65536,ISNUMBER(SEARCH(TEST!E2,[1]___2022___!$K$1:$K$65536)))</f>
        <v>MEM-DR490L-HL01-EU26</v>
      </c>
      <c r="H9" s="56" t="str">
        <v>80AD01215075427B0A</v>
      </c>
    </row>
    <row r="10" spans="1:10" ht="17.25" customHeight="1">
      <c r="B10" s="54" t="str">
        <v>PWS-203-1H</v>
      </c>
      <c r="C10" s="55" t="str">
        <v>P20310L48G50305</v>
      </c>
      <c r="D10" s="7"/>
      <c r="G10" s="56" t="str">
        <v>MEM-DR490L-HL01-EU26</v>
      </c>
      <c r="H10" s="56" t="str">
        <v>80AD01215075427BBF</v>
      </c>
    </row>
    <row r="11" spans="1:10" ht="17.25" customHeight="1">
      <c r="B11" s="54" t="str">
        <v>MBD-X11SCZ-F</v>
      </c>
      <c r="C11" s="55" t="str">
        <v>VM224S013214</v>
      </c>
      <c r="D11" s="7"/>
      <c r="G11" s="56" t="str">
        <v>SYS-1019C-HTN2</v>
      </c>
      <c r="H11" s="56" t="str">
        <v>A345069X2721201</v>
      </c>
      <c r="I11" s="56"/>
      <c r="J11" s="56"/>
    </row>
    <row r="12" spans="1:10" ht="17.25" customHeight="1">
      <c r="B12" s="54" t="str">
        <v>BPN-SAS-510T</v>
      </c>
      <c r="C12" s="55" t="str">
        <v>EB227S007580</v>
      </c>
      <c r="D12" s="7"/>
      <c r="G12" s="56" t="str">
        <v>CSE-510FT-203B</v>
      </c>
      <c r="H12" s="56" t="str">
        <v>C5100LL25RA0474</v>
      </c>
    </row>
    <row r="13" spans="1:10" ht="17.25" customHeight="1">
      <c r="B13" s="54" t="str">
        <v>RSC-RR1U-E16</v>
      </c>
      <c r="C13" s="55" t="str">
        <v>VR219S016076</v>
      </c>
      <c r="D13" s="7"/>
      <c r="G13" s="56" t="str">
        <v>PWS-203-1H</v>
      </c>
      <c r="H13" s="56" t="str">
        <v>P20310L48G50305</v>
      </c>
      <c r="I13" s="56"/>
      <c r="J13" s="62"/>
    </row>
    <row r="14" spans="1:10" ht="17.25" customHeight="1">
      <c r="B14" s="54" t="str">
        <v>MZ7L3480HCHQ-00A07</v>
      </c>
      <c r="C14" s="55" t="str">
        <v>S664NE0RC25585</v>
      </c>
      <c r="D14" s="7"/>
      <c r="G14" s="56" t="str">
        <v>MBD-X11SCZ-F</v>
      </c>
      <c r="H14" s="56" t="str">
        <v>VM224S013214</v>
      </c>
      <c r="I14" s="56"/>
      <c r="J14" s="62"/>
    </row>
    <row r="15" spans="1:10" ht="17.25" customHeight="1">
      <c r="B15" s="54" t="str">
        <v>Xeon E2246G</v>
      </c>
      <c r="C15" s="55" t="str">
        <v>X212K767 02557   U2XN436702557</v>
      </c>
      <c r="D15" s="7"/>
      <c r="G15" s="56" t="str">
        <v>BPN-SAS-510T</v>
      </c>
      <c r="H15" s="56" t="str">
        <v>EB227S007580</v>
      </c>
      <c r="I15" s="56"/>
      <c r="J15" s="62"/>
    </row>
    <row r="16" spans="1:10" ht="17.25" customHeight="1">
      <c r="B16" s="54"/>
      <c r="C16" s="55"/>
      <c r="D16" s="7"/>
      <c r="F16" s="63"/>
      <c r="G16" s="56" t="str">
        <v>RSC-RR1U-E16</v>
      </c>
      <c r="H16" s="56" t="str">
        <v>VR219S016076</v>
      </c>
      <c r="I16" s="56"/>
      <c r="J16" s="62"/>
    </row>
    <row r="17" spans="2:10" ht="17.25" customHeight="1">
      <c r="B17" s="54"/>
      <c r="C17" s="55"/>
      <c r="D17" s="7"/>
      <c r="F17" s="63"/>
      <c r="G17" s="56" t="str">
        <v>MZ7L3480HCHQ-00A07</v>
      </c>
      <c r="H17" s="56" t="str">
        <v>S664NE0RC25585</v>
      </c>
      <c r="I17" s="56"/>
      <c r="J17" s="62"/>
    </row>
    <row r="18" spans="2:10" ht="17.25" customHeight="1">
      <c r="B18" s="54"/>
      <c r="C18" s="55"/>
      <c r="D18" s="7"/>
      <c r="F18" s="63"/>
      <c r="G18" s="56" t="str">
        <v>Xeon E2246G</v>
      </c>
      <c r="H18" s="56" t="str">
        <v>X212K767 02557   U2XN436702557</v>
      </c>
      <c r="I18" s="56"/>
      <c r="J18" s="62"/>
    </row>
    <row r="19" spans="2:10" ht="17.25" customHeight="1">
      <c r="B19" s="54"/>
      <c r="C19" s="55"/>
      <c r="D19" s="10"/>
      <c r="E19" s="64"/>
      <c r="F19" s="63"/>
      <c r="I19" s="56"/>
      <c r="J19" s="62"/>
    </row>
    <row r="20" spans="2:10" ht="17.25" customHeight="1">
      <c r="B20" s="54"/>
      <c r="C20" s="55"/>
      <c r="D20" s="10"/>
      <c r="E20" s="64"/>
      <c r="F20" s="63"/>
      <c r="I20" s="56"/>
      <c r="J20" s="62"/>
    </row>
    <row r="21" spans="2:10" ht="17.25" customHeight="1">
      <c r="B21" s="54"/>
      <c r="C21" s="55"/>
      <c r="D21" s="10"/>
      <c r="E21" s="64"/>
      <c r="F21" s="63"/>
      <c r="I21" s="56"/>
      <c r="J21" s="62"/>
    </row>
    <row r="22" spans="2:10" ht="17.25" customHeight="1">
      <c r="B22" s="54"/>
      <c r="C22" s="55"/>
      <c r="D22" s="65"/>
      <c r="E22" s="64"/>
      <c r="F22" s="63"/>
      <c r="I22" s="56"/>
      <c r="J22" s="62"/>
    </row>
    <row r="23" spans="2:10" ht="17.25" customHeight="1">
      <c r="B23" s="54"/>
      <c r="C23" s="55"/>
      <c r="D23" s="65"/>
      <c r="E23" s="64"/>
      <c r="F23" s="63"/>
      <c r="I23" s="56"/>
      <c r="J23" s="56"/>
    </row>
    <row r="24" spans="2:10" ht="17.25" customHeight="1">
      <c r="B24" s="54"/>
      <c r="C24" s="55"/>
      <c r="D24" s="65"/>
      <c r="E24" s="64"/>
      <c r="F24" s="63"/>
      <c r="I24" s="56"/>
      <c r="J24" s="56"/>
    </row>
    <row r="25" spans="2:10" ht="17.25" customHeight="1">
      <c r="B25" s="54"/>
      <c r="C25" s="55"/>
      <c r="D25" s="65"/>
      <c r="E25" s="64"/>
      <c r="F25" s="63"/>
      <c r="I25" s="56"/>
      <c r="J25" s="56"/>
    </row>
    <row r="26" spans="2:10" ht="17.25" customHeight="1">
      <c r="B26" s="54"/>
      <c r="C26" s="55"/>
      <c r="D26" s="10"/>
      <c r="E26" s="64"/>
      <c r="F26" s="63"/>
      <c r="I26" s="56"/>
      <c r="J26" s="56"/>
    </row>
    <row r="27" spans="2:10" ht="17.25" customHeight="1">
      <c r="B27" s="54"/>
      <c r="C27" s="55"/>
      <c r="D27" s="10"/>
      <c r="E27" s="64"/>
      <c r="F27" s="63"/>
      <c r="I27" s="56"/>
      <c r="J27" s="56"/>
    </row>
    <row r="28" spans="2:10" ht="17.25" customHeight="1">
      <c r="B28" s="54"/>
      <c r="C28" s="55"/>
      <c r="D28" s="10"/>
      <c r="E28" s="64"/>
      <c r="F28" s="63"/>
    </row>
    <row r="29" spans="2:10" ht="17.25" customHeight="1">
      <c r="B29" s="54"/>
      <c r="C29" s="55"/>
      <c r="D29" s="10"/>
      <c r="E29" s="64"/>
      <c r="F29" s="63"/>
    </row>
    <row r="30" spans="2:10" ht="17.25" customHeight="1">
      <c r="B30" s="54"/>
      <c r="C30" s="55"/>
      <c r="D30" s="10"/>
      <c r="E30" s="64"/>
    </row>
    <row r="31" spans="2:10" ht="17.25" customHeight="1">
      <c r="B31" s="54"/>
      <c r="C31" s="55"/>
      <c r="D31" s="10"/>
      <c r="E31" s="64"/>
    </row>
    <row r="32" spans="2:10" ht="17.25" customHeight="1">
      <c r="B32" s="54"/>
      <c r="C32" s="55"/>
      <c r="D32" s="7"/>
      <c r="E32" s="66"/>
    </row>
    <row r="33" spans="2:5" ht="17.25" customHeight="1">
      <c r="B33" s="54"/>
      <c r="C33" s="55"/>
      <c r="D33" s="7"/>
      <c r="E33" s="66"/>
    </row>
    <row r="34" spans="2:5" ht="17.25" customHeight="1">
      <c r="B34" s="54"/>
      <c r="C34" s="55"/>
      <c r="D34" s="7"/>
      <c r="E34" s="66"/>
    </row>
    <row r="35" spans="2:5" ht="17.25" customHeight="1">
      <c r="B35" s="54"/>
      <c r="C35" s="58"/>
      <c r="D35" s="9"/>
      <c r="E35" s="66"/>
    </row>
    <row r="36" spans="2:5" ht="17.25" customHeight="1">
      <c r="B36" s="54"/>
      <c r="C36" s="58"/>
      <c r="D36" s="8"/>
      <c r="E36" s="66"/>
    </row>
    <row r="37" spans="2:5" ht="17.25" customHeight="1">
      <c r="B37" s="54"/>
      <c r="C37" s="58"/>
      <c r="D37" s="9"/>
      <c r="E37" s="66"/>
    </row>
    <row r="38" spans="2:5" ht="17.25" customHeight="1">
      <c r="B38" s="54"/>
      <c r="C38" s="55"/>
      <c r="D38" s="7"/>
      <c r="E38" s="66"/>
    </row>
    <row r="39" spans="2:5" ht="17.25" customHeight="1">
      <c r="B39" s="54"/>
      <c r="C39" s="55"/>
      <c r="D39" s="7"/>
      <c r="E39" s="66"/>
    </row>
    <row r="40" spans="2:5" ht="17.25" customHeight="1">
      <c r="B40" s="54"/>
      <c r="C40" s="55"/>
      <c r="D40" s="7"/>
      <c r="E40" s="66"/>
    </row>
    <row r="41" spans="2:5" ht="17.25" customHeight="1">
      <c r="B41" s="54"/>
      <c r="C41" s="55"/>
      <c r="D41" s="7"/>
      <c r="E41" s="66"/>
    </row>
    <row r="42" spans="2:5" ht="17.25" customHeight="1">
      <c r="B42" s="54"/>
      <c r="C42" s="55"/>
      <c r="D42" s="7"/>
      <c r="E42" s="66"/>
    </row>
    <row r="43" spans="2:5" ht="17.25" customHeight="1">
      <c r="B43" s="54"/>
      <c r="C43" s="55"/>
      <c r="D43" s="7"/>
      <c r="E43" s="66"/>
    </row>
    <row r="44" spans="2:5" ht="17.25" customHeight="1">
      <c r="B44" s="54"/>
      <c r="C44" s="55"/>
      <c r="D44" s="7"/>
      <c r="E44" s="66"/>
    </row>
    <row r="45" spans="2:5" ht="17.25" customHeight="1">
      <c r="B45" s="54"/>
      <c r="C45" s="55"/>
      <c r="D45" s="7"/>
      <c r="E45" s="66"/>
    </row>
    <row r="46" spans="2:5" ht="17.25" customHeight="1">
      <c r="B46" s="54"/>
      <c r="C46" s="55"/>
      <c r="D46" s="7"/>
      <c r="E46" s="66"/>
    </row>
    <row r="47" spans="2:5" ht="17.25" customHeight="1">
      <c r="B47" s="54"/>
      <c r="C47" s="55"/>
      <c r="D47" s="7"/>
      <c r="E47" s="66"/>
    </row>
    <row r="48" spans="2:5" ht="17.25" customHeight="1">
      <c r="B48" s="54"/>
      <c r="C48" s="55"/>
      <c r="D48" s="7"/>
      <c r="E48" s="66"/>
    </row>
    <row r="49" spans="2:5" ht="17.25" customHeight="1">
      <c r="C49" s="55"/>
      <c r="D49" s="7"/>
      <c r="E49" s="66"/>
    </row>
    <row r="50" spans="2:5" ht="17.25" customHeight="1">
      <c r="C50" s="55"/>
      <c r="D50" s="7"/>
      <c r="E50" s="66"/>
    </row>
    <row r="51" spans="2:5" ht="17.25" customHeight="1">
      <c r="C51" s="55"/>
      <c r="D51" s="7"/>
      <c r="E51" s="66"/>
    </row>
    <row r="52" spans="2:5" ht="17.25" customHeight="1">
      <c r="B52" s="57"/>
      <c r="C52" s="58"/>
      <c r="D52" s="8"/>
      <c r="E52" s="66"/>
    </row>
    <row r="53" spans="2:5" ht="17.25" customHeight="1">
      <c r="B53" s="57"/>
      <c r="C53" s="58"/>
      <c r="D53" s="9"/>
      <c r="E53" s="66"/>
    </row>
    <row r="54" spans="2:5" ht="17.25" customHeight="1">
      <c r="C54" s="55"/>
      <c r="D54" s="7"/>
      <c r="E54" s="66"/>
    </row>
    <row r="55" spans="2:5" ht="17.25" customHeight="1">
      <c r="C55" s="55"/>
      <c r="D55" s="7"/>
      <c r="E55" s="66"/>
    </row>
    <row r="56" spans="2:5" ht="17.25" customHeight="1">
      <c r="C56" s="55"/>
      <c r="D56" s="7"/>
      <c r="E56" s="66"/>
    </row>
    <row r="57" spans="2:5" ht="17.25" customHeight="1">
      <c r="C57" s="55"/>
      <c r="D57" s="7"/>
      <c r="E57" s="66"/>
    </row>
    <row r="58" spans="2:5" ht="17.25" customHeight="1">
      <c r="C58" s="55"/>
      <c r="D58" s="7"/>
      <c r="E58" s="66"/>
    </row>
    <row r="59" spans="2:5" ht="17.25" customHeight="1">
      <c r="C59" s="55"/>
      <c r="D59" s="7"/>
      <c r="E59" s="66"/>
    </row>
    <row r="60" spans="2:5" ht="17.25" customHeight="1">
      <c r="C60" s="55"/>
      <c r="D60" s="7"/>
      <c r="E60" s="66"/>
    </row>
    <row r="61" spans="2:5" ht="17.25" customHeight="1">
      <c r="C61" s="55"/>
      <c r="D61" s="7"/>
      <c r="E61" s="66"/>
    </row>
    <row r="62" spans="2:5" ht="17.25" customHeight="1">
      <c r="C62" s="55"/>
      <c r="D62" s="7"/>
      <c r="E62" s="66"/>
    </row>
    <row r="63" spans="2:5" ht="17.25" customHeight="1">
      <c r="C63" s="55"/>
      <c r="D63" s="7"/>
      <c r="E63" s="66"/>
    </row>
    <row r="64" spans="2:5" ht="17.25" customHeight="1">
      <c r="C64" s="55"/>
      <c r="D64" s="7"/>
      <c r="E64" s="66"/>
    </row>
    <row r="65" spans="2:5" ht="17.25" customHeight="1">
      <c r="C65" s="55"/>
      <c r="D65" s="7"/>
      <c r="E65" s="66"/>
    </row>
    <row r="66" spans="2:5" ht="48">
      <c r="C66" s="55"/>
      <c r="D66" s="7"/>
      <c r="E66" s="66"/>
    </row>
    <row r="67" spans="2:5" ht="48">
      <c r="C67" s="55"/>
      <c r="D67" s="7"/>
      <c r="E67" s="66"/>
    </row>
    <row r="68" spans="2:5" ht="48">
      <c r="B68" s="57"/>
      <c r="C68" s="58"/>
      <c r="D68" s="8"/>
      <c r="E68" s="66"/>
    </row>
    <row r="69" spans="2:5" ht="48">
      <c r="B69" s="57"/>
      <c r="C69" s="58"/>
      <c r="D69" s="9"/>
      <c r="E69" s="66"/>
    </row>
    <row r="70" spans="2:5" ht="48">
      <c r="C70" s="55"/>
      <c r="D70" s="7"/>
      <c r="E70" s="66"/>
    </row>
    <row r="71" spans="2:5" ht="48">
      <c r="C71" s="55"/>
      <c r="D71" s="7"/>
      <c r="E71" s="66"/>
    </row>
    <row r="72" spans="2:5" ht="48">
      <c r="C72" s="55"/>
      <c r="D72" s="7"/>
      <c r="E72" s="66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7"/>
      <c r="C84" s="60"/>
      <c r="D84" s="8"/>
    </row>
    <row r="85" spans="2:4">
      <c r="B85" s="57"/>
      <c r="C85" s="60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7"/>
      <c r="C101" s="60"/>
      <c r="D101" s="8"/>
    </row>
    <row r="102" spans="2:4">
      <c r="B102" s="57"/>
      <c r="C102" s="60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7"/>
      <c r="C117" s="60"/>
      <c r="D117" s="8"/>
    </row>
    <row r="118" spans="2:4">
      <c r="B118" s="57"/>
      <c r="C118" s="60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7"/>
      <c r="C133" s="60"/>
      <c r="D133" s="8"/>
    </row>
    <row r="134" spans="2:4">
      <c r="B134" s="57"/>
      <c r="C134" s="60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7"/>
      <c r="C149" s="60"/>
      <c r="D149" s="8"/>
    </row>
    <row r="150" spans="2:4">
      <c r="B150" s="57"/>
      <c r="C150" s="60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7"/>
      <c r="C165" s="60"/>
      <c r="D165" s="8"/>
    </row>
    <row r="166" spans="2:4">
      <c r="B166" s="57"/>
      <c r="C166" s="60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7"/>
      <c r="C182" s="60"/>
      <c r="D182" s="8"/>
    </row>
    <row r="183" spans="2:4">
      <c r="B183" s="57"/>
      <c r="C183" s="60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7"/>
      <c r="C198" s="60"/>
      <c r="D198" s="8"/>
    </row>
    <row r="199" spans="2:4">
      <c r="B199" s="57"/>
      <c r="C199" s="60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67" priority="30"/>
  </conditionalFormatting>
  <conditionalFormatting sqref="D51">
    <cfRule type="duplicateValues" dxfId="566" priority="29"/>
  </conditionalFormatting>
  <conditionalFormatting sqref="D67">
    <cfRule type="duplicateValues" dxfId="565" priority="28"/>
  </conditionalFormatting>
  <conditionalFormatting sqref="D83">
    <cfRule type="duplicateValues" dxfId="564" priority="27"/>
  </conditionalFormatting>
  <conditionalFormatting sqref="D99:D100">
    <cfRule type="duplicateValues" dxfId="563" priority="26"/>
  </conditionalFormatting>
  <conditionalFormatting sqref="D36 D48:D50">
    <cfRule type="duplicateValues" dxfId="562" priority="25"/>
  </conditionalFormatting>
  <conditionalFormatting sqref="D52 D64:D66">
    <cfRule type="duplicateValues" dxfId="561" priority="24"/>
  </conditionalFormatting>
  <conditionalFormatting sqref="D68 D80:D82">
    <cfRule type="duplicateValues" dxfId="560" priority="23"/>
  </conditionalFormatting>
  <conditionalFormatting sqref="D84 D96:D98">
    <cfRule type="duplicateValues" dxfId="559" priority="22"/>
  </conditionalFormatting>
  <conditionalFormatting sqref="D101">
    <cfRule type="duplicateValues" dxfId="558" priority="21"/>
  </conditionalFormatting>
  <conditionalFormatting sqref="D117">
    <cfRule type="duplicateValues" dxfId="557" priority="20"/>
  </conditionalFormatting>
  <conditionalFormatting sqref="D133">
    <cfRule type="duplicateValues" dxfId="556" priority="19"/>
  </conditionalFormatting>
  <conditionalFormatting sqref="D149 D160:D163">
    <cfRule type="duplicateValues" dxfId="555" priority="18"/>
  </conditionalFormatting>
  <conditionalFormatting sqref="D165 D176:D179">
    <cfRule type="duplicateValues" dxfId="554" priority="17"/>
  </conditionalFormatting>
  <conditionalFormatting sqref="D182 D193:D196">
    <cfRule type="duplicateValues" dxfId="553" priority="16"/>
  </conditionalFormatting>
  <conditionalFormatting sqref="D198 D209:D212">
    <cfRule type="duplicateValues" dxfId="552" priority="15"/>
  </conditionalFormatting>
  <conditionalFormatting sqref="D37:D47">
    <cfRule type="duplicateValues" dxfId="551" priority="14"/>
  </conditionalFormatting>
  <conditionalFormatting sqref="D53:D63">
    <cfRule type="duplicateValues" dxfId="550" priority="13"/>
  </conditionalFormatting>
  <conditionalFormatting sqref="D69:D79">
    <cfRule type="duplicateValues" dxfId="549" priority="12"/>
  </conditionalFormatting>
  <conditionalFormatting sqref="D85:D95">
    <cfRule type="duplicateValues" dxfId="548" priority="11"/>
  </conditionalFormatting>
  <conditionalFormatting sqref="D102:D111">
    <cfRule type="duplicateValues" dxfId="547" priority="10"/>
  </conditionalFormatting>
  <conditionalFormatting sqref="D118:D127">
    <cfRule type="duplicateValues" dxfId="546" priority="9"/>
  </conditionalFormatting>
  <conditionalFormatting sqref="D134:D143">
    <cfRule type="duplicateValues" dxfId="545" priority="8"/>
  </conditionalFormatting>
  <conditionalFormatting sqref="D150:D159">
    <cfRule type="duplicateValues" dxfId="544" priority="7"/>
  </conditionalFormatting>
  <conditionalFormatting sqref="D166:D175">
    <cfRule type="duplicateValues" dxfId="543" priority="6"/>
  </conditionalFormatting>
  <conditionalFormatting sqref="D183:D192">
    <cfRule type="duplicateValues" dxfId="542" priority="5"/>
  </conditionalFormatting>
  <conditionalFormatting sqref="D199:D208">
    <cfRule type="duplicateValues" dxfId="541" priority="4"/>
  </conditionalFormatting>
  <conditionalFormatting sqref="D144:D147">
    <cfRule type="duplicateValues" dxfId="540" priority="3"/>
  </conditionalFormatting>
  <conditionalFormatting sqref="D128:D131">
    <cfRule type="duplicateValues" dxfId="539" priority="2"/>
  </conditionalFormatting>
  <conditionalFormatting sqref="D112:D115">
    <cfRule type="duplicateValues" dxfId="538" priority="1"/>
  </conditionalFormatting>
  <conditionalFormatting sqref="D116 D2:D18 D132 D148 D164 D180:D181 D197 D213:D1048576">
    <cfRule type="duplicateValues" dxfId="537" priority="31"/>
  </conditionalFormatting>
  <conditionalFormatting sqref="D32:D34">
    <cfRule type="duplicateValues" dxfId="536" priority="32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str" cm="1">
        <f t="array" ref="I4:I15">_xlfn.UNIQUE(_xlfn._xlws.FILTER([1]___2022___!$D$1:$D$65536,[1]___2022___!$K$1:$K$65536=A2))</f>
        <v xml:space="preserve">M393A4K40EB3-CWE 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  <c r="I5" t="str">
        <v>MZ7L3240HCHQ-00A07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  <c r="I6" t="str">
        <v>MZ7L33T8HBLT-00A07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  <c r="I7" t="str">
        <v>MegaRaid 9361-8i   05-25420-08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  <c r="I8" t="str">
        <v>CSE-113AC2-706WB2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  <c r="I9" t="str">
        <v>PWS-706P-1R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  <c r="I10" t="str">
        <v>BPN-SAS3-113A-N2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  <c r="I11" t="str">
        <v>RSC-R1UW-2E16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  <c r="I12" t="str">
        <v>RSC-R1UW-E8R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  <c r="I13" t="str">
        <v>AOC-SGP-I4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  <c r="I14" t="str">
        <v>MBD-X11DDW-L-O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  <c r="I15" t="str">
        <v>Xeon Silver 4216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A36" sqref="A3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A3" sqref="A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2022-08-30T09:12:03Z</cp:lastPrinted>
  <dcterms:created xsi:type="dcterms:W3CDTF">2021-01-12T11:59:55Z</dcterms:created>
  <dcterms:modified xsi:type="dcterms:W3CDTF">2022-08-30T09:13:10Z</dcterms:modified>
</cp:coreProperties>
</file>